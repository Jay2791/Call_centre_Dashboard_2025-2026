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I\OneDrive\Desktop\Tasks\Call center project\Dashboard project\"/>
    </mc:Choice>
  </mc:AlternateContent>
  <bookViews>
    <workbookView xWindow="0" yWindow="0" windowWidth="20490" windowHeight="8610"/>
  </bookViews>
  <sheets>
    <sheet name="Sheet1" sheetId="1" r:id="rId1"/>
  </sheets>
  <externalReferences>
    <externalReference r:id="rId2"/>
  </externalReferences>
  <definedNames>
    <definedName name="_xlcn.WorksheetConnection_Callcenter2025.xlsxcalls" hidden="1">[1]!calls[#Data]</definedName>
  </definedNames>
  <calcPr calcId="162913"/>
  <pivotCaches>
    <pivotCache cacheId="46" r:id="rId3"/>
    <pivotCache cacheId="54" r:id="rId4"/>
    <pivotCache cacheId="57" r:id="rId5"/>
    <pivotCache cacheId="60" r:id="rId6"/>
    <pivotCache cacheId="63" r:id="rId7"/>
    <pivotCache cacheId="66" r:id="rId8"/>
    <pivotCache cacheId="69" r:id="rId9"/>
    <pivotCache cacheId="72" r:id="rId10"/>
    <pivotCache cacheId="75" r:id="rId11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alls-349ff920-1936-4def-8a1e-f5f8cd039577" name="calls" connection="WorksheetConnection_Call center 2025.xlsx!calls"/>
        </x15:modelTables>
        <x15:extLst>
          <ext xmlns:x16="http://schemas.microsoft.com/office/spreadsheetml/2014/11/main" uri="{9835A34E-60A6-4A7C-AAB8-D5F71C897F49}">
            <x16:modelTimeGroupings>
              <x16:modelTimeGrouping tableName="calls" columnName="Date of Call" columnId="Date of Call">
                <x16:calculatedTimeColumn columnName="Date of Call (Month Index)" columnId="Date of Call (Month Index)" contentType="monthsindex" isSelected="1"/>
                <x16:calculatedTimeColumn columnName="Date of Call (Month)" columnId="Date of Call (Month)" contentType="months" isSelected="1"/>
              </x16:modelTimeGrouping>
            </x16:modelTimeGroupings>
          </ext>
        </x15:extLst>
      </x15:dataModel>
    </ext>
  </extLst>
</workbook>
</file>

<file path=xl/calcChain.xml><?xml version="1.0" encoding="utf-8"?>
<calcChain xmlns="http://schemas.openxmlformats.org/spreadsheetml/2006/main">
  <c r="E53" i="1" l="1"/>
  <c r="J42" i="1" s="1"/>
  <c r="I38" i="1" l="1"/>
  <c r="I39" i="1"/>
  <c r="I41" i="1"/>
  <c r="J39" i="1"/>
  <c r="J41" i="1"/>
  <c r="I40" i="1"/>
  <c r="I42" i="1"/>
  <c r="J38" i="1"/>
  <c r="J40" i="1"/>
</calcChain>
</file>

<file path=xl/connections.xml><?xml version="1.0" encoding="utf-8"?>
<connections xmlns="http://schemas.openxmlformats.org/spreadsheetml/2006/main">
  <connection id="1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Call center 2025.xlsx!calls" type="102" refreshedVersion="6" minRefreshableVersion="5">
    <extLst>
      <ext xmlns:x15="http://schemas.microsoft.com/office/spreadsheetml/2010/11/main" uri="{DE250136-89BD-433C-8126-D09CA5730AF9}">
        <x15:connection id="calls-349ff920-1936-4def-8a1e-f5f8cd039577" autoDelete="1">
          <x15:rangePr sourceName="_xlcn.WorksheetConnection_Callcenter2025.xlsxcalls"/>
        </x15:connection>
      </ext>
    </extLst>
  </connection>
</connections>
</file>

<file path=xl/sharedStrings.xml><?xml version="1.0" encoding="utf-8"?>
<sst xmlns="http://schemas.openxmlformats.org/spreadsheetml/2006/main" count="73" uniqueCount="39">
  <si>
    <t>call count</t>
  </si>
  <si>
    <t>total duration</t>
  </si>
  <si>
    <t>total amount</t>
  </si>
  <si>
    <t>Happy calls</t>
  </si>
  <si>
    <t>avg.rating</t>
  </si>
  <si>
    <t>Row Labels</t>
  </si>
  <si>
    <t>call count2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</si>
  <si>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</si>
  <si>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</si>
  <si>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</si>
  <si>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</si>
  <si>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</si>
  <si>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</si>
  <si>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</si>
  <si>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</si>
  <si>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</si>
  <si>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</si>
  <si>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</si>
  <si>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</si>
  <si>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Grand Total</t>
  </si>
  <si>
    <t>Monday</t>
  </si>
  <si>
    <t>Tuesday</t>
  </si>
  <si>
    <t>Wednesday</t>
  </si>
  <si>
    <t>Thursday</t>
  </si>
  <si>
    <t>Friday</t>
  </si>
  <si>
    <t>Saturday</t>
  </si>
  <si>
    <t>Sunday</t>
  </si>
  <si>
    <t>For graph</t>
  </si>
  <si>
    <t>Rep</t>
  </si>
  <si>
    <t>Calls</t>
  </si>
  <si>
    <t>Amount</t>
  </si>
  <si>
    <t>sel.calls</t>
  </si>
  <si>
    <t>sel.amount</t>
  </si>
  <si>
    <t>R01</t>
  </si>
  <si>
    <t>R03</t>
  </si>
  <si>
    <t>R02</t>
  </si>
  <si>
    <t>R04</t>
  </si>
  <si>
    <t>R05</t>
  </si>
  <si>
    <t>Count of Duration Bucket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</si>
</sst>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₹&quot;\ #,##0;#,##0\ \-&quot;₹&quot;;&quot;₹&quot;\ #,##0"/>
    <numFmt numFmtId="165" formatCode="0.0"/>
    <numFmt numFmtId="166" formatCode="&quot;₹&quot;#,###.0,&quot;k&quot;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left"/>
    </xf>
    <xf numFmtId="166" fontId="0" fillId="0" borderId="0" xfId="0" applyNumberFormat="1"/>
    <xf numFmtId="0" fontId="0" fillId="2" borderId="0" xfId="0" applyFill="1" applyAlignment="1">
      <alignment horizontal="left"/>
    </xf>
    <xf numFmtId="0" fontId="0" fillId="0" borderId="0" xfId="0" applyNumberFormat="1"/>
    <xf numFmtId="0" fontId="0" fillId="0" borderId="0" xfId="0" pivotButton="1"/>
  </cellXfs>
  <cellStyles count="1">
    <cellStyle name="Normal" xfId="0" builtinId="0"/>
  </cellStyles>
  <dxfs count="2"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6.xml"/><Relationship Id="rId13" Type="http://schemas.openxmlformats.org/officeDocument/2006/relationships/connections" Target="connections.xml"/><Relationship Id="rId3" Type="http://schemas.openxmlformats.org/officeDocument/2006/relationships/pivotCacheDefinition" Target="pivotCache/pivotCacheDefinition1.xml"/><Relationship Id="rId7" Type="http://schemas.openxmlformats.org/officeDocument/2006/relationships/pivotCacheDefinition" Target="pivotCache/pivotCacheDefinition5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6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openxmlformats.org/officeDocument/2006/relationships/pivotCacheDefinition" Target="pivotCache/pivotCacheDefinition9.xml"/><Relationship Id="rId5" Type="http://schemas.openxmlformats.org/officeDocument/2006/relationships/pivotCacheDefinition" Target="pivotCache/pivotCacheDefinition3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8.xml"/><Relationship Id="rId4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7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all%20center%202025%20(Recover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s"/>
      <sheetName val="Pivots"/>
      <sheetName val="Dashboard"/>
      <sheetName val="Data"/>
    </sheetNames>
    <sheetDataSet>
      <sheetData sheetId="0"/>
      <sheetData sheetId="1"/>
      <sheetData sheetId="2"/>
      <sheetData sheetId="3"/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JAI" refreshedDate="45918.929169212963" backgroundQuery="1" createdVersion="6" refreshedVersion="6" minRefreshableVersion="3" recordCount="0" supportSubquery="1" supportAdvancedDrill="1">
  <cacheSource type="external" connectionId="1"/>
  <cacheFields count="4">
    <cacheField name="[calls].[Day of week].[Day of week]" caption="Day of week" numFmtId="0" hierarchy="8" level="1">
      <sharedItems count="7">
        <s v="Friday"/>
        <s v="Monday"/>
        <s v="Saturday"/>
        <s v="Sunday"/>
        <s v="Thursday"/>
        <s v="Tuesday"/>
        <s v="Wednesday"/>
      </sharedItems>
    </cacheField>
    <cacheField name="[customers].[City].[City]" caption="City" numFmtId="0" hierarchy="15" level="1">
      <sharedItems count="3">
        <s v="Cincinnati"/>
        <s v="Cleveland"/>
        <s v="Columbus"/>
      </sharedItems>
    </cacheField>
    <cacheField name="[calls].[Representative].[Representative]" caption="Representative" numFmtId="0" hierarchy="3" level="1">
      <sharedItems count="5">
        <s v="R01"/>
        <s v="R02"/>
        <s v="R03"/>
        <s v="R04"/>
        <s v="R05"/>
      </sharedItems>
    </cacheField>
    <cacheField name="[Measures].[Count of Duration Bucket]" caption="Count of Duration Bucket" numFmtId="0" hierarchy="34" level="32767"/>
  </cacheFields>
  <cacheHierarchies count="35">
    <cacheHierarchy uniqueName="[calls].[Call number]" caption="Call number" attribute="1" defaultMemberUniqueName="[calls].[Call number].[All]" allUniqueName="[calls].[Call number].[All]" dimensionUniqueName="[calls]" displayFolder="" count="0" memberValueDatatype="130" unbalanced="0"/>
    <cacheHierarchy uniqueName="[calls].[Customer ID]" caption="Customer ID" attribute="1" defaultMemberUniqueName="[calls].[Customer ID].[All]" allUniqueName="[calls].[Customer ID].[All]" dimensionUniqueName="[calls]" displayFolder="" count="0" memberValueDatatype="130" unbalanced="0"/>
    <cacheHierarchy uniqueName="[calls].[Duration]" caption="Duration" attribute="1" defaultMemberUniqueName="[calls].[Duration].[All]" allUniqueName="[calls].[Duration].[All]" dimensionUniqueName="[calls]" displayFolder="" count="0" memberValueDatatype="20" unbalanced="0"/>
    <cacheHierarchy uniqueName="[calls].[Representative]" caption="Representative" attribute="1" defaultMemberUniqueName="[calls].[Representative].[All]" allUniqueName="[calls].[Representative].[All]" dimensionUniqueName="[calls]" displayFolder="" count="2" memberValueDatatype="130" unbalanced="0">
      <fieldsUsage count="2">
        <fieldUsage x="-1"/>
        <fieldUsage x="2"/>
      </fieldsUsage>
    </cacheHierarchy>
    <cacheHierarchy uniqueName="[calls].[Date of Call]" caption="Date of Call" attribute="1" time="1" defaultMemberUniqueName="[calls].[Date of Call].[All]" allUniqueName="[calls].[Date of Call].[All]" dimensionUniqueName="[calls]" displayFolder="" count="0" memberValueDatatype="7" unbalanced="0"/>
    <cacheHierarchy uniqueName="[calls].[Purchase Amount]" caption="Purchase Amount" attribute="1" defaultMemberUniqueName="[calls].[Purchase Amount].[All]" allUniqueName="[calls].[Purchase Amount].[All]" dimensionUniqueName="[calls]" displayFolder="" count="0" memberValueDatatype="20" unbalanced="0"/>
    <cacheHierarchy uniqueName="[calls].[Satisfaction Rating]" caption="Satisfaction Rating" attribute="1" defaultMemberUniqueName="[calls].[Satisfaction Rating].[All]" allUniqueName="[calls].[Satisfaction Rating].[All]" dimensionUniqueName="[calls]" displayFolder="" count="0" memberValueDatatype="5" unbalanced="0"/>
    <cacheHierarchy uniqueName="[calls].[FY]" caption="FY" attribute="1" defaultMemberUniqueName="[calls].[FY].[All]" allUniqueName="[calls].[FY].[All]" dimensionUniqueName="[calls]" displayFolder="" count="0" memberValueDatatype="20" unbalanced="0"/>
    <cacheHierarchy uniqueName="[calls].[Day of week]" caption="Day of week" attribute="1" defaultMemberUniqueName="[calls].[Day of week].[All]" allUniqueName="[calls].[Day of week].[All]" dimensionUniqueName="[calls]" displayFolder="" count="2" memberValueDatatype="130" unbalanced="0">
      <fieldsUsage count="2">
        <fieldUsage x="-1"/>
        <fieldUsage x="0"/>
      </fieldsUsage>
    </cacheHierarchy>
    <cacheHierarchy uniqueName="[calls].[Duration Bucket]" caption="Duration Bucket" attribute="1" defaultMemberUniqueName="[calls].[Duration Bucket].[All]" allUniqueName="[calls].[Duration Bucket].[All]" dimensionUniqueName="[calls]" displayFolder="" count="0" memberValueDatatype="130" unbalanced="0"/>
    <cacheHierarchy uniqueName="[calls].[Rating rounded]" caption="Rating rounded" attribute="1" defaultMemberUniqueName="[calls].[Rating rounded].[All]" allUniqueName="[calls].[Rating rounded].[All]" dimensionUniqueName="[calls]" displayFolder="" count="0" memberValueDatatype="20" unbalanced="0"/>
    <cacheHierarchy uniqueName="[calls].[Date of Call (Month)]" caption="Date of Call (Month)" attribute="1" defaultMemberUniqueName="[calls].[Date of Call (Month)].[All]" allUniqueName="[calls].[Date of Call (Month)].[All]" dimensionUniqueName="[calls]" displayFolder="" count="0" memberValueDatatype="130" unbalanced="0"/>
    <cacheHierarchy uniqueName="[customers].[Customer ID]" caption="Customer ID" attribute="1" defaultMemberUniqueName="[customers].[Customer ID].[All]" allUniqueName="[customers].[Customer ID].[All]" dimensionUniqueName="[customers]" displayFolder="" count="0" memberValueDatatype="130" unbalanced="0"/>
    <cacheHierarchy uniqueName="[customers].[Gedner]" caption="Gedner" attribute="1" defaultMemberUniqueName="[customers].[Gedner].[All]" allUniqueName="[customers].[Gedner].[All]" dimensionUniqueName="[customers]" displayFolder="" count="0" memberValueDatatype="130" unbalanced="0"/>
    <cacheHierarchy uniqueName="[customers].[Age]" caption="Age" attribute="1" defaultMemberUniqueName="[customers].[Age].[All]" allUniqueName="[customers].[Age].[All]" dimensionUniqueName="[customers]" displayFolder="" count="0" memberValueDatatype="20" unbalanced="0"/>
    <cacheHierarchy uniqueName="[customers].[City]" caption="City" attribute="1" defaultMemberUniqueName="[customers].[City].[All]" allUniqueName="[customers].[City].[All]" dimensionUniqueName="[customers]" displayFolder="" count="2" memberValueDatatype="130" unbalanced="0">
      <fieldsUsage count="2">
        <fieldUsage x="-1"/>
        <fieldUsage x="1"/>
      </fieldsUsage>
    </cacheHierarchy>
    <cacheHierarchy uniqueName="[calls].[Date of Call (Month Index)]" caption="Date of Call (Month Index)" attribute="1" defaultMemberUniqueName="[calls].[Date of Call (Month Index)].[All]" allUniqueName="[calls].[Date of Call (Month Index)].[All]" dimensionUniqueName="[calls]" displayFolder="" count="0" memberValueDatatype="20" unbalanced="0" hidden="1"/>
    <cacheHierarchy uniqueName="[Measures].[call count]" caption="call count" measure="1" displayFolder="" measureGroup="calls" count="0"/>
    <cacheHierarchy uniqueName="[Measures].[total amount]" caption="total amount" measure="1" displayFolder="" measureGroup="calls" count="0"/>
    <cacheHierarchy uniqueName="[Measures].[total duration]" caption="total duration" measure="1" displayFolder="" measureGroup="calls" count="0"/>
    <cacheHierarchy uniqueName="[Measures].[avg.rating]" caption="avg.rating" measure="1" displayFolder="" measureGroup="calls" count="0"/>
    <cacheHierarchy uniqueName="[Measures].[Happy calls]" caption="Happy calls" measure="1" displayFolder="" measureGroup="calls" count="0"/>
    <cacheHierarchy uniqueName="[Measures].[__XL_Count calls]" caption="__XL_Count calls" measure="1" displayFolder="" measureGroup="calls" count="0" hidden="1"/>
    <cacheHierarchy uniqueName="[Measures].[__XL_Count customers]" caption="__XL_Count customers" measure="1" displayFolder="" measureGroup="customers" count="0" hidden="1"/>
    <cacheHierarchy uniqueName="[Measures].[__No measures defined]" caption="__No measures defined" measure="1" displayFolder="" count="0" hidden="1"/>
    <cacheHierarchy uniqueName="[Measures].[Sum of Purchase Amount]" caption="Sum of Purchase Amount" measure="1" displayFolder="" measureGroup="call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Duration]" caption="Sum of Duration" measure="1" displayFolder="" measureGroup="call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Rating rounded]" caption="Sum of Rating rounded" measure="1" displayFolder="" measureGroup="call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Rating rounded]" caption="Average of Rating rounded" measure="1" displayFolder="" measureGroup="call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Gedner]" caption="Count of Gedner" measure="1" displayFolder="" measureGroup="custom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Call number]" caption="Count of Call number" measure="1" displayFolder="" measureGroup="call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ity]" caption="Count of City" measure="1" displayFolder="" measureGroup="customer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Satisfaction Rating]" caption="Sum of Satisfaction Rating" measure="1" displayFolder="" measureGroup="call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Satisfaction Rating]" caption="Average of Satisfaction Rating" measure="1" displayFolder="" measureGroup="call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uration Bucket]" caption="Count of Duration Bucket" measure="1" displayFolder="" measureGroup="call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3">
    <dimension name="calls" uniqueName="[calls]" caption="calls"/>
    <dimension name="customers" uniqueName="[customers]" caption="customers"/>
    <dimension measure="1" name="Measures" uniqueName="[Measures]" caption="Measures"/>
  </dimensions>
  <measureGroups count="2">
    <measureGroup name="calls" caption="calls"/>
    <measureGroup name="customers" caption="customers"/>
  </measureGroups>
  <maps count="3">
    <map measureGroup="0" dimension="0"/>
    <map measureGroup="0" dimension="1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JAI" refreshedDate="45918.956266898145" backgroundQuery="1" createdVersion="6" refreshedVersion="6" minRefreshableVersion="3" recordCount="0" supportSubquery="1" supportAdvancedDrill="1">
  <cacheSource type="external" connectionId="1"/>
  <cacheFields count="6">
    <cacheField name="[Measures].[call count]" caption="call count" numFmtId="0" hierarchy="13" level="32767"/>
    <cacheField name="[Measures].[total amount]" caption="total amount" numFmtId="0" hierarchy="14" level="32767"/>
    <cacheField name="[Measures].[total duration]" caption="total duration" numFmtId="0" hierarchy="15" level="32767"/>
    <cacheField name="[Measures].[avg.rating]" caption="avg.rating" numFmtId="0" hierarchy="16" level="32767"/>
    <cacheField name="[Measures].[Happy calls]" caption="Happy calls" numFmtId="0" hierarchy="17" level="32767"/>
    <cacheField name="[calls].[Representative].[Representative]" caption="Representative" numFmtId="0" hierarchy="3" level="1">
      <sharedItems containsSemiMixedTypes="0" containsNonDate="0" containsString="0"/>
    </cacheField>
  </cacheFields>
  <cacheHierarchies count="28">
    <cacheHierarchy uniqueName="[calls].[Call number]" caption="Call number" attribute="1" defaultMemberUniqueName="[calls].[Call number].[All]" allUniqueName="[calls].[Call number].[All]" dimensionUniqueName="[calls]" displayFolder="" count="0" memberValueDatatype="130" unbalanced="0"/>
    <cacheHierarchy uniqueName="[calls].[Customer ID]" caption="Customer ID" attribute="1" defaultMemberUniqueName="[calls].[Customer ID].[All]" allUniqueName="[calls].[Customer ID].[All]" dimensionUniqueName="[calls]" displayFolder="" count="0" memberValueDatatype="130" unbalanced="0"/>
    <cacheHierarchy uniqueName="[calls].[Duration]" caption="Duration" attribute="1" defaultMemberUniqueName="[calls].[Duration].[All]" allUniqueName="[calls].[Duration].[All]" dimensionUniqueName="[calls]" displayFolder="" count="0" memberValueDatatype="20" unbalanced="0"/>
    <cacheHierarchy uniqueName="[calls].[Representative]" caption="Representative" attribute="1" defaultMemberUniqueName="[calls].[Representative].[All]" allUniqueName="[calls].[Representative].[All]" dimensionUniqueName="[calls]" displayFolder="" count="2" memberValueDatatype="130" unbalanced="0">
      <fieldsUsage count="2">
        <fieldUsage x="-1"/>
        <fieldUsage x="5"/>
      </fieldsUsage>
    </cacheHierarchy>
    <cacheHierarchy uniqueName="[calls].[Date of Call]" caption="Date of Call" attribute="1" time="1" defaultMemberUniqueName="[calls].[Date of Call].[All]" allUniqueName="[calls].[Date of Call].[All]" dimensionUniqueName="[calls]" displayFolder="" count="0" memberValueDatatype="7" unbalanced="0"/>
    <cacheHierarchy uniqueName="[calls].[Purchase Amount]" caption="Purchase Amount" attribute="1" defaultMemberUniqueName="[calls].[Purchase Amount].[All]" allUniqueName="[calls].[Purchase Amount].[All]" dimensionUniqueName="[calls]" displayFolder="" count="0" memberValueDatatype="20" unbalanced="0"/>
    <cacheHierarchy uniqueName="[calls].[Satisfaction Rating]" caption="Satisfaction Rating" attribute="1" defaultMemberUniqueName="[calls].[Satisfaction Rating].[All]" allUniqueName="[calls].[Satisfaction Rating].[All]" dimensionUniqueName="[calls]" displayFolder="" count="0" memberValueDatatype="5" unbalanced="0"/>
    <cacheHierarchy uniqueName="[calls].[FY]" caption="FY" attribute="1" defaultMemberUniqueName="[calls].[FY].[All]" allUniqueName="[calls].[FY].[All]" dimensionUniqueName="[calls]" displayFolder="" count="0" memberValueDatatype="20" unbalanced="0"/>
    <cacheHierarchy uniqueName="[calls].[Day of week]" caption="Day of week" attribute="1" defaultMemberUniqueName="[calls].[Day of week].[All]" allUniqueName="[calls].[Day of week].[All]" dimensionUniqueName="[calls]" displayFolder="" count="0" memberValueDatatype="130" unbalanced="0"/>
    <cacheHierarchy uniqueName="[calls].[Duration Bucket]" caption="Duration Bucket" attribute="1" defaultMemberUniqueName="[calls].[Duration Bucket].[All]" allUniqueName="[calls].[Duration Bucket].[All]" dimensionUniqueName="[calls]" displayFolder="" count="0" memberValueDatatype="130" unbalanced="0"/>
    <cacheHierarchy uniqueName="[calls].[Rating rounded]" caption="Rating rounded" attribute="1" defaultMemberUniqueName="[calls].[Rating rounded].[All]" allUniqueName="[calls].[Rating rounded].[All]" dimensionUniqueName="[calls]" displayFolder="" count="0" memberValueDatatype="20" unbalanced="0"/>
    <cacheHierarchy uniqueName="[calls].[Date of Call (Month)]" caption="Date of Call (Month)" attribute="1" defaultMemberUniqueName="[calls].[Date of Call (Month)].[All]" allUniqueName="[calls].[Date of Call (Month)].[All]" dimensionUniqueName="[calls]" displayFolder="" count="0" memberValueDatatype="130" unbalanced="0"/>
    <cacheHierarchy uniqueName="[calls].[Date of Call (Month Index)]" caption="Date of Call (Month Index)" attribute="1" defaultMemberUniqueName="[calls].[Date of Call (Month Index)].[All]" allUniqueName="[calls].[Date of Call (Month Index)].[All]" dimensionUniqueName="[calls]" displayFolder="" count="0" memberValueDatatype="20" unbalanced="0" hidden="1"/>
    <cacheHierarchy uniqueName="[Measures].[call count]" caption="call count" measure="1" displayFolder="" measureGroup="calls" count="0" oneField="1">
      <fieldsUsage count="1">
        <fieldUsage x="0"/>
      </fieldsUsage>
    </cacheHierarchy>
    <cacheHierarchy uniqueName="[Measures].[total amount]" caption="total amount" measure="1" displayFolder="" measureGroup="calls" count="0" oneField="1">
      <fieldsUsage count="1">
        <fieldUsage x="1"/>
      </fieldsUsage>
    </cacheHierarchy>
    <cacheHierarchy uniqueName="[Measures].[total duration]" caption="total duration" measure="1" displayFolder="" measureGroup="calls" count="0" oneField="1">
      <fieldsUsage count="1">
        <fieldUsage x="2"/>
      </fieldsUsage>
    </cacheHierarchy>
    <cacheHierarchy uniqueName="[Measures].[avg.rating]" caption="avg.rating" measure="1" displayFolder="" measureGroup="calls" count="0" oneField="1">
      <fieldsUsage count="1">
        <fieldUsage x="3"/>
      </fieldsUsage>
    </cacheHierarchy>
    <cacheHierarchy uniqueName="[Measures].[Happy calls]" caption="Happy calls" measure="1" displayFolder="" measureGroup="calls" count="0" oneField="1">
      <fieldsUsage count="1">
        <fieldUsage x="4"/>
      </fieldsUsage>
    </cacheHierarchy>
    <cacheHierarchy uniqueName="[Measures].[__XL_Count calls]" caption="__XL_Count calls" measure="1" displayFolder="" measureGroup="calls" count="0" hidden="1"/>
    <cacheHierarchy uniqueName="[Measures].[__No measures defined]" caption="__No measures defined" measure="1" displayFolder="" count="0" hidden="1"/>
    <cacheHierarchy uniqueName="[Measures].[Sum of Purchase Amount]" caption="Sum of Purchase Amount" measure="1" displayFolder="" measureGroup="call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Duration]" caption="Sum of Duration" measure="1" displayFolder="" measureGroup="call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Rating rounded]" caption="Sum of Rating rounded" measure="1" displayFolder="" measureGroup="call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Rating rounded]" caption="Average of Rating rounded" measure="1" displayFolder="" measureGroup="call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all number]" caption="Count of Call number" measure="1" displayFolder="" measureGroup="call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atisfaction Rating]" caption="Sum of Satisfaction Rating" measure="1" displayFolder="" measureGroup="call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Satisfaction Rating]" caption="Average of Satisfaction Rating" measure="1" displayFolder="" measureGroup="call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uration Bucket]" caption="Count of Duration Bucket" measure="1" displayFolder="" measureGroup="call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name="calls" uniqueName="[calls]" caption="calls"/>
    <dimension measure="1" name="Measures" uniqueName="[Measures]" caption="Measures"/>
  </dimensions>
  <measureGroups count="1">
    <measureGroup name="calls" caption="call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saveData="0" refreshedBy="JAI" refreshedDate="45918.956267592592" backgroundQuery="1" createdVersion="6" refreshedVersion="6" minRefreshableVersion="3" recordCount="0" supportSubquery="1" supportAdvancedDrill="1">
  <cacheSource type="external" connectionId="1"/>
  <cacheFields count="6">
    <cacheField name="[Measures].[call count]" caption="call count" numFmtId="0" hierarchy="13" level="32767"/>
    <cacheField name="[Measures].[total amount]" caption="total amount" numFmtId="0" hierarchy="14" level="32767"/>
    <cacheField name="[Measures].[total duration]" caption="total duration" numFmtId="0" hierarchy="15" level="32767"/>
    <cacheField name="[Measures].[avg.rating]" caption="avg.rating" numFmtId="0" hierarchy="16" level="32767"/>
    <cacheField name="[Measures].[Happy calls]" caption="Happy calls" numFmtId="0" hierarchy="17" level="32767"/>
    <cacheField name="[calls].[Representative].[Representative]" caption="Representative" numFmtId="0" hierarchy="3" level="1">
      <sharedItems containsSemiMixedTypes="0" containsNonDate="0" containsString="0"/>
    </cacheField>
  </cacheFields>
  <cacheHierarchies count="28">
    <cacheHierarchy uniqueName="[calls].[Call number]" caption="Call number" attribute="1" defaultMemberUniqueName="[calls].[Call number].[All]" allUniqueName="[calls].[Call number].[All]" dimensionUniqueName="[calls]" displayFolder="" count="0" memberValueDatatype="130" unbalanced="0"/>
    <cacheHierarchy uniqueName="[calls].[Customer ID]" caption="Customer ID" attribute="1" defaultMemberUniqueName="[calls].[Customer ID].[All]" allUniqueName="[calls].[Customer ID].[All]" dimensionUniqueName="[calls]" displayFolder="" count="0" memberValueDatatype="130" unbalanced="0"/>
    <cacheHierarchy uniqueName="[calls].[Duration]" caption="Duration" attribute="1" defaultMemberUniqueName="[calls].[Duration].[All]" allUniqueName="[calls].[Duration].[All]" dimensionUniqueName="[calls]" displayFolder="" count="0" memberValueDatatype="20" unbalanced="0"/>
    <cacheHierarchy uniqueName="[calls].[Representative]" caption="Representative" attribute="1" defaultMemberUniqueName="[calls].[Representative].[All]" allUniqueName="[calls].[Representative].[All]" dimensionUniqueName="[calls]" displayFolder="" count="2" memberValueDatatype="130" unbalanced="0">
      <fieldsUsage count="2">
        <fieldUsage x="-1"/>
        <fieldUsage x="5"/>
      </fieldsUsage>
    </cacheHierarchy>
    <cacheHierarchy uniqueName="[calls].[Date of Call]" caption="Date of Call" attribute="1" time="1" defaultMemberUniqueName="[calls].[Date of Call].[All]" allUniqueName="[calls].[Date of Call].[All]" dimensionUniqueName="[calls]" displayFolder="" count="0" memberValueDatatype="7" unbalanced="0"/>
    <cacheHierarchy uniqueName="[calls].[Purchase Amount]" caption="Purchase Amount" attribute="1" defaultMemberUniqueName="[calls].[Purchase Amount].[All]" allUniqueName="[calls].[Purchase Amount].[All]" dimensionUniqueName="[calls]" displayFolder="" count="0" memberValueDatatype="20" unbalanced="0"/>
    <cacheHierarchy uniqueName="[calls].[Satisfaction Rating]" caption="Satisfaction Rating" attribute="1" defaultMemberUniqueName="[calls].[Satisfaction Rating].[All]" allUniqueName="[calls].[Satisfaction Rating].[All]" dimensionUniqueName="[calls]" displayFolder="" count="0" memberValueDatatype="5" unbalanced="0"/>
    <cacheHierarchy uniqueName="[calls].[FY]" caption="FY" attribute="1" defaultMemberUniqueName="[calls].[FY].[All]" allUniqueName="[calls].[FY].[All]" dimensionUniqueName="[calls]" displayFolder="" count="0" memberValueDatatype="20" unbalanced="0"/>
    <cacheHierarchy uniqueName="[calls].[Day of week]" caption="Day of week" attribute="1" defaultMemberUniqueName="[calls].[Day of week].[All]" allUniqueName="[calls].[Day of week].[All]" dimensionUniqueName="[calls]" displayFolder="" count="0" memberValueDatatype="130" unbalanced="0"/>
    <cacheHierarchy uniqueName="[calls].[Duration Bucket]" caption="Duration Bucket" attribute="1" defaultMemberUniqueName="[calls].[Duration Bucket].[All]" allUniqueName="[calls].[Duration Bucket].[All]" dimensionUniqueName="[calls]" displayFolder="" count="0" memberValueDatatype="130" unbalanced="0"/>
    <cacheHierarchy uniqueName="[calls].[Rating rounded]" caption="Rating rounded" attribute="1" defaultMemberUniqueName="[calls].[Rating rounded].[All]" allUniqueName="[calls].[Rating rounded].[All]" dimensionUniqueName="[calls]" displayFolder="" count="0" memberValueDatatype="20" unbalanced="0"/>
    <cacheHierarchy uniqueName="[calls].[Date of Call (Month)]" caption="Date of Call (Month)" attribute="1" defaultMemberUniqueName="[calls].[Date of Call (Month)].[All]" allUniqueName="[calls].[Date of Call (Month)].[All]" dimensionUniqueName="[calls]" displayFolder="" count="0" memberValueDatatype="130" unbalanced="0"/>
    <cacheHierarchy uniqueName="[calls].[Date of Call (Month Index)]" caption="Date of Call (Month Index)" attribute="1" defaultMemberUniqueName="[calls].[Date of Call (Month Index)].[All]" allUniqueName="[calls].[Date of Call (Month Index)].[All]" dimensionUniqueName="[calls]" displayFolder="" count="0" memberValueDatatype="20" unbalanced="0" hidden="1"/>
    <cacheHierarchy uniqueName="[Measures].[call count]" caption="call count" measure="1" displayFolder="" measureGroup="calls" count="0" oneField="1">
      <fieldsUsage count="1">
        <fieldUsage x="0"/>
      </fieldsUsage>
    </cacheHierarchy>
    <cacheHierarchy uniqueName="[Measures].[total amount]" caption="total amount" measure="1" displayFolder="" measureGroup="calls" count="0" oneField="1">
      <fieldsUsage count="1">
        <fieldUsage x="1"/>
      </fieldsUsage>
    </cacheHierarchy>
    <cacheHierarchy uniqueName="[Measures].[total duration]" caption="total duration" measure="1" displayFolder="" measureGroup="calls" count="0" oneField="1">
      <fieldsUsage count="1">
        <fieldUsage x="2"/>
      </fieldsUsage>
    </cacheHierarchy>
    <cacheHierarchy uniqueName="[Measures].[avg.rating]" caption="avg.rating" measure="1" displayFolder="" measureGroup="calls" count="0" oneField="1">
      <fieldsUsage count="1">
        <fieldUsage x="3"/>
      </fieldsUsage>
    </cacheHierarchy>
    <cacheHierarchy uniqueName="[Measures].[Happy calls]" caption="Happy calls" measure="1" displayFolder="" measureGroup="calls" count="0" oneField="1">
      <fieldsUsage count="1">
        <fieldUsage x="4"/>
      </fieldsUsage>
    </cacheHierarchy>
    <cacheHierarchy uniqueName="[Measures].[__XL_Count calls]" caption="__XL_Count calls" measure="1" displayFolder="" measureGroup="calls" count="0" hidden="1"/>
    <cacheHierarchy uniqueName="[Measures].[__No measures defined]" caption="__No measures defined" measure="1" displayFolder="" count="0" hidden="1"/>
    <cacheHierarchy uniqueName="[Measures].[Sum of Purchase Amount]" caption="Sum of Purchase Amount" measure="1" displayFolder="" measureGroup="call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Duration]" caption="Sum of Duration" measure="1" displayFolder="" measureGroup="call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Rating rounded]" caption="Sum of Rating rounded" measure="1" displayFolder="" measureGroup="call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Rating rounded]" caption="Average of Rating rounded" measure="1" displayFolder="" measureGroup="call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all number]" caption="Count of Call number" measure="1" displayFolder="" measureGroup="call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atisfaction Rating]" caption="Sum of Satisfaction Rating" measure="1" displayFolder="" measureGroup="call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Satisfaction Rating]" caption="Average of Satisfaction Rating" measure="1" displayFolder="" measureGroup="call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uration Bucket]" caption="Count of Duration Bucket" measure="1" displayFolder="" measureGroup="call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name="calls" uniqueName="[calls]" caption="calls"/>
    <dimension measure="1" name="Measures" uniqueName="[Measures]" caption="Measures"/>
  </dimensions>
  <measureGroups count="1">
    <measureGroup name="calls" caption="call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saveData="0" refreshedBy="JAI" refreshedDate="45918.956268402777" backgroundQuery="1" createdVersion="6" refreshedVersion="6" minRefreshableVersion="3" recordCount="0" supportSubquery="1" supportAdvancedDrill="1">
  <cacheSource type="external" connectionId="1"/>
  <cacheFields count="3">
    <cacheField name="[calls].[Representative].[Representative]" caption="Representative" numFmtId="0" hierarchy="3" level="1">
      <sharedItems count="1">
        <s v="R03"/>
      </sharedItems>
    </cacheField>
    <cacheField name="[Measures].[call count]" caption="call count" numFmtId="0" hierarchy="13" level="32767"/>
    <cacheField name="[Measures].[total amount]" caption="total amount" numFmtId="0" hierarchy="14" level="32767"/>
  </cacheFields>
  <cacheHierarchies count="28">
    <cacheHierarchy uniqueName="[calls].[Call number]" caption="Call number" attribute="1" defaultMemberUniqueName="[calls].[Call number].[All]" allUniqueName="[calls].[Call number].[All]" dimensionUniqueName="[calls]" displayFolder="" count="0" memberValueDatatype="130" unbalanced="0"/>
    <cacheHierarchy uniqueName="[calls].[Customer ID]" caption="Customer ID" attribute="1" defaultMemberUniqueName="[calls].[Customer ID].[All]" allUniqueName="[calls].[Customer ID].[All]" dimensionUniqueName="[calls]" displayFolder="" count="0" memberValueDatatype="130" unbalanced="0"/>
    <cacheHierarchy uniqueName="[calls].[Duration]" caption="Duration" attribute="1" defaultMemberUniqueName="[calls].[Duration].[All]" allUniqueName="[calls].[Duration].[All]" dimensionUniqueName="[calls]" displayFolder="" count="0" memberValueDatatype="20" unbalanced="0"/>
    <cacheHierarchy uniqueName="[calls].[Representative]" caption="Representative" attribute="1" defaultMemberUniqueName="[calls].[Representative].[All]" allUniqueName="[calls].[Representative].[All]" dimensionUniqueName="[calls]" displayFolder="" count="2" memberValueDatatype="130" unbalanced="0">
      <fieldsUsage count="2">
        <fieldUsage x="-1"/>
        <fieldUsage x="0"/>
      </fieldsUsage>
    </cacheHierarchy>
    <cacheHierarchy uniqueName="[calls].[Date of Call]" caption="Date of Call" attribute="1" time="1" defaultMemberUniqueName="[calls].[Date of Call].[All]" allUniqueName="[calls].[Date of Call].[All]" dimensionUniqueName="[calls]" displayFolder="" count="0" memberValueDatatype="7" unbalanced="0"/>
    <cacheHierarchy uniqueName="[calls].[Purchase Amount]" caption="Purchase Amount" attribute="1" defaultMemberUniqueName="[calls].[Purchase Amount].[All]" allUniqueName="[calls].[Purchase Amount].[All]" dimensionUniqueName="[calls]" displayFolder="" count="0" memberValueDatatype="20" unbalanced="0"/>
    <cacheHierarchy uniqueName="[calls].[Satisfaction Rating]" caption="Satisfaction Rating" attribute="1" defaultMemberUniqueName="[calls].[Satisfaction Rating].[All]" allUniqueName="[calls].[Satisfaction Rating].[All]" dimensionUniqueName="[calls]" displayFolder="" count="0" memberValueDatatype="5" unbalanced="0"/>
    <cacheHierarchy uniqueName="[calls].[FY]" caption="FY" attribute="1" defaultMemberUniqueName="[calls].[FY].[All]" allUniqueName="[calls].[FY].[All]" dimensionUniqueName="[calls]" displayFolder="" count="0" memberValueDatatype="20" unbalanced="0"/>
    <cacheHierarchy uniqueName="[calls].[Day of week]" caption="Day of week" attribute="1" defaultMemberUniqueName="[calls].[Day of week].[All]" allUniqueName="[calls].[Day of week].[All]" dimensionUniqueName="[calls]" displayFolder="" count="0" memberValueDatatype="130" unbalanced="0"/>
    <cacheHierarchy uniqueName="[calls].[Duration Bucket]" caption="Duration Bucket" attribute="1" defaultMemberUniqueName="[calls].[Duration Bucket].[All]" allUniqueName="[calls].[Duration Bucket].[All]" dimensionUniqueName="[calls]" displayFolder="" count="0" memberValueDatatype="130" unbalanced="0"/>
    <cacheHierarchy uniqueName="[calls].[Rating rounded]" caption="Rating rounded" attribute="1" defaultMemberUniqueName="[calls].[Rating rounded].[All]" allUniqueName="[calls].[Rating rounded].[All]" dimensionUniqueName="[calls]" displayFolder="" count="0" memberValueDatatype="20" unbalanced="0"/>
    <cacheHierarchy uniqueName="[calls].[Date of Call (Month)]" caption="Date of Call (Month)" attribute="1" defaultMemberUniqueName="[calls].[Date of Call (Month)].[All]" allUniqueName="[calls].[Date of Call (Month)].[All]" dimensionUniqueName="[calls]" displayFolder="" count="0" memberValueDatatype="130" unbalanced="0"/>
    <cacheHierarchy uniqueName="[calls].[Date of Call (Month Index)]" caption="Date of Call (Month Index)" attribute="1" defaultMemberUniqueName="[calls].[Date of Call (Month Index)].[All]" allUniqueName="[calls].[Date of Call (Month Index)].[All]" dimensionUniqueName="[calls]" displayFolder="" count="0" memberValueDatatype="20" unbalanced="0" hidden="1"/>
    <cacheHierarchy uniqueName="[Measures].[call count]" caption="call count" measure="1" displayFolder="" measureGroup="calls" count="0" oneField="1">
      <fieldsUsage count="1">
        <fieldUsage x="1"/>
      </fieldsUsage>
    </cacheHierarchy>
    <cacheHierarchy uniqueName="[Measures].[total amount]" caption="total amount" measure="1" displayFolder="" measureGroup="calls" count="0" oneField="1">
      <fieldsUsage count="1">
        <fieldUsage x="2"/>
      </fieldsUsage>
    </cacheHierarchy>
    <cacheHierarchy uniqueName="[Measures].[total duration]" caption="total duration" measure="1" displayFolder="" measureGroup="calls" count="0"/>
    <cacheHierarchy uniqueName="[Measures].[avg.rating]" caption="avg.rating" measure="1" displayFolder="" measureGroup="calls" count="0"/>
    <cacheHierarchy uniqueName="[Measures].[Happy calls]" caption="Happy calls" measure="1" displayFolder="" measureGroup="calls" count="0"/>
    <cacheHierarchy uniqueName="[Measures].[__XL_Count calls]" caption="__XL_Count calls" measure="1" displayFolder="" measureGroup="calls" count="0" hidden="1"/>
    <cacheHierarchy uniqueName="[Measures].[__No measures defined]" caption="__No measures defined" measure="1" displayFolder="" count="0" hidden="1"/>
    <cacheHierarchy uniqueName="[Measures].[Sum of Purchase Amount]" caption="Sum of Purchase Amount" measure="1" displayFolder="" measureGroup="call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Duration]" caption="Sum of Duration" measure="1" displayFolder="" measureGroup="call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Rating rounded]" caption="Sum of Rating rounded" measure="1" displayFolder="" measureGroup="call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Rating rounded]" caption="Average of Rating rounded" measure="1" displayFolder="" measureGroup="call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all number]" caption="Count of Call number" measure="1" displayFolder="" measureGroup="call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atisfaction Rating]" caption="Sum of Satisfaction Rating" measure="1" displayFolder="" measureGroup="call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Satisfaction Rating]" caption="Average of Satisfaction Rating" measure="1" displayFolder="" measureGroup="call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uration Bucket]" caption="Count of Duration Bucket" measure="1" displayFolder="" measureGroup="call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name="calls" uniqueName="[calls]" caption="calls"/>
    <dimension measure="1" name="Measures" uniqueName="[Measures]" caption="Measures"/>
  </dimensions>
  <measureGroups count="1">
    <measureGroup name="calls" caption="call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saveData="0" refreshedBy="JAI" refreshedDate="45918.95626979167" backgroundQuery="1" createdVersion="6" refreshedVersion="6" minRefreshableVersion="3" recordCount="0" supportSubquery="1" supportAdvancedDrill="1">
  <cacheSource type="external" connectionId="1"/>
  <cacheFields count="3">
    <cacheField name="[calls].[Representative].[Representative]" caption="Representative" numFmtId="0" hierarchy="3" level="1">
      <sharedItems containsSemiMixedTypes="0" containsNonDate="0" containsString="0"/>
    </cacheField>
    <cacheField name="[calls].[Day of week].[Day of week]" caption="Day of week" numFmtId="0" hierarchy="8" level="1">
      <sharedItems count="7">
        <s v="Friday"/>
        <s v="Monday"/>
        <s v="Saturday"/>
        <s v="Sunday"/>
        <s v="Thursday"/>
        <s v="Tuesday"/>
        <s v="Wednesday"/>
      </sharedItems>
    </cacheField>
    <cacheField name="[Measures].[call count]" caption="call count" numFmtId="0" hierarchy="13" level="32767"/>
  </cacheFields>
  <cacheHierarchies count="28">
    <cacheHierarchy uniqueName="[calls].[Call number]" caption="Call number" attribute="1" defaultMemberUniqueName="[calls].[Call number].[All]" allUniqueName="[calls].[Call number].[All]" dimensionUniqueName="[calls]" displayFolder="" count="0" memberValueDatatype="130" unbalanced="0"/>
    <cacheHierarchy uniqueName="[calls].[Customer ID]" caption="Customer ID" attribute="1" defaultMemberUniqueName="[calls].[Customer ID].[All]" allUniqueName="[calls].[Customer ID].[All]" dimensionUniqueName="[calls]" displayFolder="" count="0" memberValueDatatype="130" unbalanced="0"/>
    <cacheHierarchy uniqueName="[calls].[Duration]" caption="Duration" attribute="1" defaultMemberUniqueName="[calls].[Duration].[All]" allUniqueName="[calls].[Duration].[All]" dimensionUniqueName="[calls]" displayFolder="" count="0" memberValueDatatype="20" unbalanced="0"/>
    <cacheHierarchy uniqueName="[calls].[Representative]" caption="Representative" attribute="1" defaultMemberUniqueName="[calls].[Representative].[All]" allUniqueName="[calls].[Representative].[All]" dimensionUniqueName="[calls]" displayFolder="" count="2" memberValueDatatype="130" unbalanced="0">
      <fieldsUsage count="2">
        <fieldUsage x="-1"/>
        <fieldUsage x="0"/>
      </fieldsUsage>
    </cacheHierarchy>
    <cacheHierarchy uniqueName="[calls].[Date of Call]" caption="Date of Call" attribute="1" time="1" defaultMemberUniqueName="[calls].[Date of Call].[All]" allUniqueName="[calls].[Date of Call].[All]" dimensionUniqueName="[calls]" displayFolder="" count="0" memberValueDatatype="7" unbalanced="0"/>
    <cacheHierarchy uniqueName="[calls].[Purchase Amount]" caption="Purchase Amount" attribute="1" defaultMemberUniqueName="[calls].[Purchase Amount].[All]" allUniqueName="[calls].[Purchase Amount].[All]" dimensionUniqueName="[calls]" displayFolder="" count="0" memberValueDatatype="20" unbalanced="0"/>
    <cacheHierarchy uniqueName="[calls].[Satisfaction Rating]" caption="Satisfaction Rating" attribute="1" defaultMemberUniqueName="[calls].[Satisfaction Rating].[All]" allUniqueName="[calls].[Satisfaction Rating].[All]" dimensionUniqueName="[calls]" displayFolder="" count="0" memberValueDatatype="5" unbalanced="0"/>
    <cacheHierarchy uniqueName="[calls].[FY]" caption="FY" attribute="1" defaultMemberUniqueName="[calls].[FY].[All]" allUniqueName="[calls].[FY].[All]" dimensionUniqueName="[calls]" displayFolder="" count="0" memberValueDatatype="20" unbalanced="0"/>
    <cacheHierarchy uniqueName="[calls].[Day of week]" caption="Day of week" attribute="1" defaultMemberUniqueName="[calls].[Day of week].[All]" allUniqueName="[calls].[Day of week].[All]" dimensionUniqueName="[calls]" displayFolder="" count="2" memberValueDatatype="130" unbalanced="0">
      <fieldsUsage count="2">
        <fieldUsage x="-1"/>
        <fieldUsage x="1"/>
      </fieldsUsage>
    </cacheHierarchy>
    <cacheHierarchy uniqueName="[calls].[Duration Bucket]" caption="Duration Bucket" attribute="1" defaultMemberUniqueName="[calls].[Duration Bucket].[All]" allUniqueName="[calls].[Duration Bucket].[All]" dimensionUniqueName="[calls]" displayFolder="" count="0" memberValueDatatype="130" unbalanced="0"/>
    <cacheHierarchy uniqueName="[calls].[Rating rounded]" caption="Rating rounded" attribute="1" defaultMemberUniqueName="[calls].[Rating rounded].[All]" allUniqueName="[calls].[Rating rounded].[All]" dimensionUniqueName="[calls]" displayFolder="" count="0" memberValueDatatype="20" unbalanced="0"/>
    <cacheHierarchy uniqueName="[calls].[Date of Call (Month)]" caption="Date of Call (Month)" attribute="1" defaultMemberUniqueName="[calls].[Date of Call (Month)].[All]" allUniqueName="[calls].[Date of Call (Month)].[All]" dimensionUniqueName="[calls]" displayFolder="" count="0" memberValueDatatype="130" unbalanced="0"/>
    <cacheHierarchy uniqueName="[calls].[Date of Call (Month Index)]" caption="Date of Call (Month Index)" attribute="1" defaultMemberUniqueName="[calls].[Date of Call (Month Index)].[All]" allUniqueName="[calls].[Date of Call (Month Index)].[All]" dimensionUniqueName="[calls]" displayFolder="" count="0" memberValueDatatype="20" unbalanced="0" hidden="1"/>
    <cacheHierarchy uniqueName="[Measures].[call count]" caption="call count" measure="1" displayFolder="" measureGroup="calls" count="0" oneField="1">
      <fieldsUsage count="1">
        <fieldUsage x="2"/>
      </fieldsUsage>
    </cacheHierarchy>
    <cacheHierarchy uniqueName="[Measures].[total amount]" caption="total amount" measure="1" displayFolder="" measureGroup="calls" count="0"/>
    <cacheHierarchy uniqueName="[Measures].[total duration]" caption="total duration" measure="1" displayFolder="" measureGroup="calls" count="0"/>
    <cacheHierarchy uniqueName="[Measures].[avg.rating]" caption="avg.rating" measure="1" displayFolder="" measureGroup="calls" count="0"/>
    <cacheHierarchy uniqueName="[Measures].[Happy calls]" caption="Happy calls" measure="1" displayFolder="" measureGroup="calls" count="0"/>
    <cacheHierarchy uniqueName="[Measures].[__XL_Count calls]" caption="__XL_Count calls" measure="1" displayFolder="" measureGroup="calls" count="0" hidden="1"/>
    <cacheHierarchy uniqueName="[Measures].[__No measures defined]" caption="__No measures defined" measure="1" displayFolder="" count="0" hidden="1"/>
    <cacheHierarchy uniqueName="[Measures].[Sum of Purchase Amount]" caption="Sum of Purchase Amount" measure="1" displayFolder="" measureGroup="call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Duration]" caption="Sum of Duration" measure="1" displayFolder="" measureGroup="call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Rating rounded]" caption="Sum of Rating rounded" measure="1" displayFolder="" measureGroup="call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Rating rounded]" caption="Average of Rating rounded" measure="1" displayFolder="" measureGroup="call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all number]" caption="Count of Call number" measure="1" displayFolder="" measureGroup="call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atisfaction Rating]" caption="Sum of Satisfaction Rating" measure="1" displayFolder="" measureGroup="call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Satisfaction Rating]" caption="Average of Satisfaction Rating" measure="1" displayFolder="" measureGroup="call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uration Bucket]" caption="Count of Duration Bucket" measure="1" displayFolder="" measureGroup="call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name="calls" uniqueName="[calls]" caption="calls"/>
    <dimension measure="1" name="Measures" uniqueName="[Measures]" caption="Measures"/>
  </dimensions>
  <measureGroups count="1">
    <measureGroup name="calls" caption="call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saveData="0" refreshedBy="JAI" refreshedDate="45918.956270717594" backgroundQuery="1" createdVersion="6" refreshedVersion="6" minRefreshableVersion="3" recordCount="0" supportSubquery="1" supportAdvancedDrill="1">
  <cacheSource type="external" connectionId="1"/>
  <cacheFields count="5">
    <cacheField name="[calls].[FY].[FY]" caption="FY" numFmtId="0" hierarchy="7" level="1">
      <sharedItems containsSemiMixedTypes="0" containsString="0" containsNumber="1" containsInteger="1" minValue="2025" maxValue="2026" count="2">
        <n v="2025"/>
        <n v="2026"/>
      </sharedItems>
      <extLst>
        <ext xmlns:x15="http://schemas.microsoft.com/office/spreadsheetml/2010/11/main" uri="{4F2E5C28-24EA-4eb8-9CBF-B6C8F9C3D259}">
          <x15:cachedUniqueNames>
            <x15:cachedUniqueName index="0" name="[calls].[FY].&amp;[2025]"/>
            <x15:cachedUniqueName index="1" name="[calls].[FY].&amp;[2026]"/>
          </x15:cachedUniqueNames>
        </ext>
      </extLst>
    </cacheField>
    <cacheField name="[Measures].[total amount]" caption="total amount" numFmtId="0" hierarchy="14" level="32767"/>
    <cacheField name="[Measures].[total duration]" caption="total duration" numFmtId="0" hierarchy="15" level="32767"/>
    <cacheField name="[Measures].[Happy calls]" caption="Happy calls" numFmtId="0" hierarchy="17" level="32767"/>
    <cacheField name="[calls].[Representative].[Representative]" caption="Representative" numFmtId="0" hierarchy="3" level="1">
      <sharedItems containsSemiMixedTypes="0" containsNonDate="0" containsString="0"/>
    </cacheField>
  </cacheFields>
  <cacheHierarchies count="28">
    <cacheHierarchy uniqueName="[calls].[Call number]" caption="Call number" attribute="1" defaultMemberUniqueName="[calls].[Call number].[All]" allUniqueName="[calls].[Call number].[All]" dimensionUniqueName="[calls]" displayFolder="" count="0" memberValueDatatype="130" unbalanced="0"/>
    <cacheHierarchy uniqueName="[calls].[Customer ID]" caption="Customer ID" attribute="1" defaultMemberUniqueName="[calls].[Customer ID].[All]" allUniqueName="[calls].[Customer ID].[All]" dimensionUniqueName="[calls]" displayFolder="" count="0" memberValueDatatype="130" unbalanced="0"/>
    <cacheHierarchy uniqueName="[calls].[Duration]" caption="Duration" attribute="1" defaultMemberUniqueName="[calls].[Duration].[All]" allUniqueName="[calls].[Duration].[All]" dimensionUniqueName="[calls]" displayFolder="" count="0" memberValueDatatype="20" unbalanced="0"/>
    <cacheHierarchy uniqueName="[calls].[Representative]" caption="Representative" attribute="1" defaultMemberUniqueName="[calls].[Representative].[All]" allUniqueName="[calls].[Representative].[All]" dimensionUniqueName="[calls]" displayFolder="" count="2" memberValueDatatype="130" unbalanced="0">
      <fieldsUsage count="2">
        <fieldUsage x="-1"/>
        <fieldUsage x="4"/>
      </fieldsUsage>
    </cacheHierarchy>
    <cacheHierarchy uniqueName="[calls].[Date of Call]" caption="Date of Call" attribute="1" time="1" defaultMemberUniqueName="[calls].[Date of Call].[All]" allUniqueName="[calls].[Date of Call].[All]" dimensionUniqueName="[calls]" displayFolder="" count="0" memberValueDatatype="7" unbalanced="0"/>
    <cacheHierarchy uniqueName="[calls].[Purchase Amount]" caption="Purchase Amount" attribute="1" defaultMemberUniqueName="[calls].[Purchase Amount].[All]" allUniqueName="[calls].[Purchase Amount].[All]" dimensionUniqueName="[calls]" displayFolder="" count="0" memberValueDatatype="20" unbalanced="0"/>
    <cacheHierarchy uniqueName="[calls].[Satisfaction Rating]" caption="Satisfaction Rating" attribute="1" defaultMemberUniqueName="[calls].[Satisfaction Rating].[All]" allUniqueName="[calls].[Satisfaction Rating].[All]" dimensionUniqueName="[calls]" displayFolder="" count="0" memberValueDatatype="5" unbalanced="0"/>
    <cacheHierarchy uniqueName="[calls].[FY]" caption="FY" attribute="1" defaultMemberUniqueName="[calls].[FY].[All]" allUniqueName="[calls].[FY].[All]" dimensionUniqueName="[calls]" displayFolder="" count="2" memberValueDatatype="20" unbalanced="0">
      <fieldsUsage count="2">
        <fieldUsage x="-1"/>
        <fieldUsage x="0"/>
      </fieldsUsage>
    </cacheHierarchy>
    <cacheHierarchy uniqueName="[calls].[Day of week]" caption="Day of week" attribute="1" defaultMemberUniqueName="[calls].[Day of week].[All]" allUniqueName="[calls].[Day of week].[All]" dimensionUniqueName="[calls]" displayFolder="" count="0" memberValueDatatype="130" unbalanced="0"/>
    <cacheHierarchy uniqueName="[calls].[Duration Bucket]" caption="Duration Bucket" attribute="1" defaultMemberUniqueName="[calls].[Duration Bucket].[All]" allUniqueName="[calls].[Duration Bucket].[All]" dimensionUniqueName="[calls]" displayFolder="" count="0" memberValueDatatype="130" unbalanced="0"/>
    <cacheHierarchy uniqueName="[calls].[Rating rounded]" caption="Rating rounded" attribute="1" defaultMemberUniqueName="[calls].[Rating rounded].[All]" allUniqueName="[calls].[Rating rounded].[All]" dimensionUniqueName="[calls]" displayFolder="" count="0" memberValueDatatype="20" unbalanced="0"/>
    <cacheHierarchy uniqueName="[calls].[Date of Call (Month)]" caption="Date of Call (Month)" attribute="1" defaultMemberUniqueName="[calls].[Date of Call (Month)].[All]" allUniqueName="[calls].[Date of Call (Month)].[All]" dimensionUniqueName="[calls]" displayFolder="" count="0" memberValueDatatype="130" unbalanced="0"/>
    <cacheHierarchy uniqueName="[calls].[Date of Call (Month Index)]" caption="Date of Call (Month Index)" attribute="1" defaultMemberUniqueName="[calls].[Date of Call (Month Index)].[All]" allUniqueName="[calls].[Date of Call (Month Index)].[All]" dimensionUniqueName="[calls]" displayFolder="" count="0" memberValueDatatype="20" unbalanced="0" hidden="1"/>
    <cacheHierarchy uniqueName="[Measures].[call count]" caption="call count" measure="1" displayFolder="" measureGroup="calls" count="0"/>
    <cacheHierarchy uniqueName="[Measures].[total amount]" caption="total amount" measure="1" displayFolder="" measureGroup="calls" count="0" oneField="1">
      <fieldsUsage count="1">
        <fieldUsage x="1"/>
      </fieldsUsage>
    </cacheHierarchy>
    <cacheHierarchy uniqueName="[Measures].[total duration]" caption="total duration" measure="1" displayFolder="" measureGroup="calls" count="0" oneField="1">
      <fieldsUsage count="1">
        <fieldUsage x="2"/>
      </fieldsUsage>
    </cacheHierarchy>
    <cacheHierarchy uniqueName="[Measures].[avg.rating]" caption="avg.rating" measure="1" displayFolder="" measureGroup="calls" count="0"/>
    <cacheHierarchy uniqueName="[Measures].[Happy calls]" caption="Happy calls" measure="1" displayFolder="" measureGroup="calls" count="0" oneField="1">
      <fieldsUsage count="1">
        <fieldUsage x="3"/>
      </fieldsUsage>
    </cacheHierarchy>
    <cacheHierarchy uniqueName="[Measures].[__XL_Count calls]" caption="__XL_Count calls" measure="1" displayFolder="" measureGroup="calls" count="0" hidden="1"/>
    <cacheHierarchy uniqueName="[Measures].[__No measures defined]" caption="__No measures defined" measure="1" displayFolder="" count="0" hidden="1"/>
    <cacheHierarchy uniqueName="[Measures].[Sum of Purchase Amount]" caption="Sum of Purchase Amount" measure="1" displayFolder="" measureGroup="call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Duration]" caption="Sum of Duration" measure="1" displayFolder="" measureGroup="call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Rating rounded]" caption="Sum of Rating rounded" measure="1" displayFolder="" measureGroup="call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Rating rounded]" caption="Average of Rating rounded" measure="1" displayFolder="" measureGroup="call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all number]" caption="Count of Call number" measure="1" displayFolder="" measureGroup="call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atisfaction Rating]" caption="Sum of Satisfaction Rating" measure="1" displayFolder="" measureGroup="call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Satisfaction Rating]" caption="Average of Satisfaction Rating" measure="1" displayFolder="" measureGroup="call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uration Bucket]" caption="Count of Duration Bucket" measure="1" displayFolder="" measureGroup="call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name="calls" uniqueName="[calls]" caption="calls"/>
    <dimension measure="1" name="Measures" uniqueName="[Measures]" caption="Measures"/>
  </dimensions>
  <measureGroups count="1">
    <measureGroup name="calls" caption="call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saveData="0" refreshedBy="JAI" refreshedDate="45918.956271759256" backgroundQuery="1" createdVersion="6" refreshedVersion="6" minRefreshableVersion="3" recordCount="0" supportSubquery="1" supportAdvancedDrill="1">
  <cacheSource type="external" connectionId="1"/>
  <cacheFields count="5">
    <cacheField name="[calls].[Date of Call].[Date of Call]" caption="Date of Call" numFmtId="0" hierarchy="4" level="1">
      <sharedItems containsSemiMixedTypes="0" containsNonDate="0" containsDate="1" containsString="0" count="321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2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4T00:00:00"/>
        <d v="2025-01-25T00:00:00"/>
        <d v="2025-01-26T00:00:00"/>
        <d v="2025-01-27T00:00:00"/>
        <d v="2025-01-28T00:00:00"/>
        <d v="2025-01-30T00:00:00"/>
        <d v="2025-01-31T00:00:00"/>
        <d v="2025-02-01T00:00:00"/>
        <d v="2025-02-02T00:00:00"/>
        <d v="2025-02-04T00:00:00"/>
        <d v="2025-02-05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4T00:00:00"/>
        <d v="2025-03-25T00:00:00"/>
        <d v="2025-03-26T00:00:00"/>
        <d v="2025-03-27T00:00:00"/>
        <d v="2025-03-28T00:00:00"/>
        <d v="2025-03-29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4T00:00:00"/>
        <d v="2025-05-15T00:00:00"/>
        <d v="2025-05-16T00:00:00"/>
        <d v="2025-05-17T00:00:00"/>
        <d v="2025-05-18T00:00:00"/>
        <d v="2025-05-19T00:00:00"/>
        <d v="2025-05-21T00:00:00"/>
        <d v="2025-05-22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5T00:00:00"/>
        <d v="2025-07-26T00:00:00"/>
        <d v="2025-07-27T00:00:00"/>
        <d v="2025-07-28T00:00:00"/>
        <d v="2025-07-29T00:00:00"/>
        <d v="2025-07-3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10T00:00:00"/>
        <d v="2025-08-12T00:00:00"/>
        <d v="2025-08-13T00:00:00"/>
        <d v="2025-08-16T00:00:00"/>
        <d v="2025-08-17T00:00:00"/>
        <d v="2025-08-18T00:00:00"/>
        <d v="2025-08-19T00:00:00"/>
        <d v="2025-08-20T00:00:00"/>
        <d v="2025-08-21T00:00:00"/>
        <d v="2025-08-24T00:00:00"/>
        <d v="2025-08-25T00:00:00"/>
        <d v="2025-08-26T00:00:00"/>
        <d v="2025-08-27T00:00:00"/>
        <d v="2025-08-29T00:00:00"/>
        <d v="2025-08-30T00:00:00"/>
        <d v="2025-08-31T00:00:00"/>
        <d v="2025-09-01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2T00:00:00"/>
        <d v="2025-09-13T00:00:00"/>
        <d v="2025-09-14T00:00:00"/>
        <d v="2025-09-15T00:00:00"/>
        <d v="2025-09-16T00:00:00"/>
        <d v="2025-09-17T00:00:00"/>
        <d v="2025-09-19T00:00:00"/>
        <d v="2025-09-20T00:00:00"/>
        <d v="2025-09-21T00:00:00"/>
        <d v="2025-09-22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7T00:00:00"/>
        <d v="2025-12-08T00:00:00"/>
        <d v="2025-12-09T00:00:00"/>
        <d v="2025-12-13T00:00:00"/>
        <d v="2025-12-14T00:00:00"/>
        <d v="2025-12-15T00:00:00"/>
        <d v="2025-12-16T00:00:00"/>
        <d v="2025-12-17T00:00:00"/>
        <d v="2025-12-19T00:00:00"/>
        <d v="2025-12-20T00:00:00"/>
        <d v="2025-12-21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</sharedItems>
    </cacheField>
    <cacheField name="[calls].[Date of Call (Month)].[Date of Call (Month)]" caption="Date of Call (Month)" numFmtId="0" hierarchy="11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Measures].[call count]" caption="call count" numFmtId="0" hierarchy="13" level="32767"/>
    <cacheField name="[calls].[Representative].[Representative]" caption="Representative" numFmtId="0" hierarchy="3" level="1">
      <sharedItems containsSemiMixedTypes="0" containsNonDate="0" containsString="0"/>
    </cacheField>
    <cacheField name="Dummy0" numFmtId="0" hierarchy="28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29">
    <cacheHierarchy uniqueName="[calls].[Call number]" caption="Call number" attribute="1" defaultMemberUniqueName="[calls].[Call number].[All]" allUniqueName="[calls].[Call number].[All]" dimensionUniqueName="[calls]" displayFolder="" count="0" memberValueDatatype="130" unbalanced="0"/>
    <cacheHierarchy uniqueName="[calls].[Customer ID]" caption="Customer ID" attribute="1" defaultMemberUniqueName="[calls].[Customer ID].[All]" allUniqueName="[calls].[Customer ID].[All]" dimensionUniqueName="[calls]" displayFolder="" count="0" memberValueDatatype="130" unbalanced="0"/>
    <cacheHierarchy uniqueName="[calls].[Duration]" caption="Duration" attribute="1" defaultMemberUniqueName="[calls].[Duration].[All]" allUniqueName="[calls].[Duration].[All]" dimensionUniqueName="[calls]" displayFolder="" count="0" memberValueDatatype="20" unbalanced="0"/>
    <cacheHierarchy uniqueName="[calls].[Representative]" caption="Representative" attribute="1" defaultMemberUniqueName="[calls].[Representative].[All]" allUniqueName="[calls].[Representative].[All]" dimensionUniqueName="[calls]" displayFolder="" count="2" memberValueDatatype="130" unbalanced="0">
      <fieldsUsage count="2">
        <fieldUsage x="-1"/>
        <fieldUsage x="3"/>
      </fieldsUsage>
    </cacheHierarchy>
    <cacheHierarchy uniqueName="[calls].[Date of Call]" caption="Date of Call" attribute="1" time="1" defaultMemberUniqueName="[calls].[Date of Call].[All]" allUniqueName="[calls].[Date of Call].[All]" dimensionUniqueName="[calls]" displayFolder="" count="2" memberValueDatatype="7" unbalanced="0">
      <fieldsUsage count="2">
        <fieldUsage x="-1"/>
        <fieldUsage x="0"/>
      </fieldsUsage>
    </cacheHierarchy>
    <cacheHierarchy uniqueName="[calls].[Purchase Amount]" caption="Purchase Amount" attribute="1" defaultMemberUniqueName="[calls].[Purchase Amount].[All]" allUniqueName="[calls].[Purchase Amount].[All]" dimensionUniqueName="[calls]" displayFolder="" count="0" memberValueDatatype="20" unbalanced="0"/>
    <cacheHierarchy uniqueName="[calls].[Satisfaction Rating]" caption="Satisfaction Rating" attribute="1" defaultMemberUniqueName="[calls].[Satisfaction Rating].[All]" allUniqueName="[calls].[Satisfaction Rating].[All]" dimensionUniqueName="[calls]" displayFolder="" count="0" memberValueDatatype="5" unbalanced="0"/>
    <cacheHierarchy uniqueName="[calls].[FY]" caption="FY" attribute="1" defaultMemberUniqueName="[calls].[FY].[All]" allUniqueName="[calls].[FY].[All]" dimensionUniqueName="[calls]" displayFolder="" count="0" memberValueDatatype="20" unbalanced="0"/>
    <cacheHierarchy uniqueName="[calls].[Day of week]" caption="Day of week" attribute="1" defaultMemberUniqueName="[calls].[Day of week].[All]" allUniqueName="[calls].[Day of week].[All]" dimensionUniqueName="[calls]" displayFolder="" count="0" memberValueDatatype="130" unbalanced="0"/>
    <cacheHierarchy uniqueName="[calls].[Duration Bucket]" caption="Duration Bucket" attribute="1" defaultMemberUniqueName="[calls].[Duration Bucket].[All]" allUniqueName="[calls].[Duration Bucket].[All]" dimensionUniqueName="[calls]" displayFolder="" count="0" memberValueDatatype="130" unbalanced="0"/>
    <cacheHierarchy uniqueName="[calls].[Rating rounded]" caption="Rating rounded" attribute="1" defaultMemberUniqueName="[calls].[Rating rounded].[All]" allUniqueName="[calls].[Rating rounded].[All]" dimensionUniqueName="[calls]" displayFolder="" count="0" memberValueDatatype="20" unbalanced="0"/>
    <cacheHierarchy uniqueName="[calls].[Date of Call (Month)]" caption="Date of Call (Month)" attribute="1" defaultMemberUniqueName="[calls].[Date of Call (Month)].[All]" allUniqueName="[calls].[Date of Call (Month)].[All]" dimensionUniqueName="[calls]" displayFolder="" count="2" memberValueDatatype="130" unbalanced="0">
      <fieldsUsage count="2">
        <fieldUsage x="-1"/>
        <fieldUsage x="1"/>
      </fieldsUsage>
    </cacheHierarchy>
    <cacheHierarchy uniqueName="[calls].[Date of Call (Month Index)]" caption="Date of Call (Month Index)" attribute="1" defaultMemberUniqueName="[calls].[Date of Call (Month Index)].[All]" allUniqueName="[calls].[Date of Call (Month Index)].[All]" dimensionUniqueName="[calls]" displayFolder="" count="0" memberValueDatatype="20" unbalanced="0" hidden="1"/>
    <cacheHierarchy uniqueName="[Measures].[call count]" caption="call count" measure="1" displayFolder="" measureGroup="calls" count="0" oneField="1">
      <fieldsUsage count="1">
        <fieldUsage x="2"/>
      </fieldsUsage>
    </cacheHierarchy>
    <cacheHierarchy uniqueName="[Measures].[total amount]" caption="total amount" measure="1" displayFolder="" measureGroup="calls" count="0"/>
    <cacheHierarchy uniqueName="[Measures].[total duration]" caption="total duration" measure="1" displayFolder="" measureGroup="calls" count="0"/>
    <cacheHierarchy uniqueName="[Measures].[avg.rating]" caption="avg.rating" measure="1" displayFolder="" measureGroup="calls" count="0"/>
    <cacheHierarchy uniqueName="[Measures].[Happy calls]" caption="Happy calls" measure="1" displayFolder="" measureGroup="calls" count="0"/>
    <cacheHierarchy uniqueName="[Measures].[__XL_Count calls]" caption="__XL_Count calls" measure="1" displayFolder="" measureGroup="calls" count="0" hidden="1"/>
    <cacheHierarchy uniqueName="[Measures].[__No measures defined]" caption="__No measures defined" measure="1" displayFolder="" count="0" hidden="1"/>
    <cacheHierarchy uniqueName="[Measures].[Sum of Purchase Amount]" caption="Sum of Purchase Amount" measure="1" displayFolder="" measureGroup="call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Duration]" caption="Sum of Duration" measure="1" displayFolder="" measureGroup="call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Rating rounded]" caption="Sum of Rating rounded" measure="1" displayFolder="" measureGroup="call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Rating rounded]" caption="Average of Rating rounded" measure="1" displayFolder="" measureGroup="call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all number]" caption="Count of Call number" measure="1" displayFolder="" measureGroup="call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atisfaction Rating]" caption="Sum of Satisfaction Rating" measure="1" displayFolder="" measureGroup="call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Satisfaction Rating]" caption="Average of Satisfaction Rating" measure="1" displayFolder="" measureGroup="call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uration Bucket]" caption="Count of Duration Bucket" measure="1" displayFolder="" measureGroup="call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Dummy0" caption="Call number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name="calls" uniqueName="[calls]" caption="calls"/>
    <dimension measure="1" name="Measures" uniqueName="[Measures]" caption="Measures"/>
  </dimensions>
  <measureGroups count="1">
    <measureGroup name="calls" caption="call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saveData="0" refreshedBy="JAI" refreshedDate="45918.956272685187" backgroundQuery="1" createdVersion="6" refreshedVersion="6" minRefreshableVersion="3" recordCount="0" supportSubquery="1" supportAdvancedDrill="1">
  <cacheSource type="external" connectionId="1"/>
  <cacheFields count="3">
    <cacheField name="[calls].[Representative].[Representative]" caption="Representative" numFmtId="0" hierarchy="3" level="1">
      <sharedItems count="1">
        <s v="R03"/>
      </sharedItems>
    </cacheField>
    <cacheField name="[Measures].[call count]" caption="call count" numFmtId="0" hierarchy="13" level="32767"/>
    <cacheField name="[Measures].[total amount]" caption="total amount" numFmtId="0" hierarchy="14" level="32767"/>
  </cacheFields>
  <cacheHierarchies count="28">
    <cacheHierarchy uniqueName="[calls].[Call number]" caption="Call number" attribute="1" defaultMemberUniqueName="[calls].[Call number].[All]" allUniqueName="[calls].[Call number].[All]" dimensionUniqueName="[calls]" displayFolder="" count="0" memberValueDatatype="130" unbalanced="0"/>
    <cacheHierarchy uniqueName="[calls].[Customer ID]" caption="Customer ID" attribute="1" defaultMemberUniqueName="[calls].[Customer ID].[All]" allUniqueName="[calls].[Customer ID].[All]" dimensionUniqueName="[calls]" displayFolder="" count="0" memberValueDatatype="130" unbalanced="0"/>
    <cacheHierarchy uniqueName="[calls].[Duration]" caption="Duration" attribute="1" defaultMemberUniqueName="[calls].[Duration].[All]" allUniqueName="[calls].[Duration].[All]" dimensionUniqueName="[calls]" displayFolder="" count="0" memberValueDatatype="20" unbalanced="0"/>
    <cacheHierarchy uniqueName="[calls].[Representative]" caption="Representative" attribute="1" defaultMemberUniqueName="[calls].[Representative].[All]" allUniqueName="[calls].[Representative].[All]" dimensionUniqueName="[calls]" displayFolder="" count="2" memberValueDatatype="130" unbalanced="0">
      <fieldsUsage count="2">
        <fieldUsage x="-1"/>
        <fieldUsage x="0"/>
      </fieldsUsage>
    </cacheHierarchy>
    <cacheHierarchy uniqueName="[calls].[Date of Call]" caption="Date of Call" attribute="1" time="1" defaultMemberUniqueName="[calls].[Date of Call].[All]" allUniqueName="[calls].[Date of Call].[All]" dimensionUniqueName="[calls]" displayFolder="" count="0" memberValueDatatype="7" unbalanced="0"/>
    <cacheHierarchy uniqueName="[calls].[Purchase Amount]" caption="Purchase Amount" attribute="1" defaultMemberUniqueName="[calls].[Purchase Amount].[All]" allUniqueName="[calls].[Purchase Amount].[All]" dimensionUniqueName="[calls]" displayFolder="" count="0" memberValueDatatype="20" unbalanced="0"/>
    <cacheHierarchy uniqueName="[calls].[Satisfaction Rating]" caption="Satisfaction Rating" attribute="1" defaultMemberUniqueName="[calls].[Satisfaction Rating].[All]" allUniqueName="[calls].[Satisfaction Rating].[All]" dimensionUniqueName="[calls]" displayFolder="" count="0" memberValueDatatype="5" unbalanced="0"/>
    <cacheHierarchy uniqueName="[calls].[FY]" caption="FY" attribute="1" defaultMemberUniqueName="[calls].[FY].[All]" allUniqueName="[calls].[FY].[All]" dimensionUniqueName="[calls]" displayFolder="" count="0" memberValueDatatype="20" unbalanced="0"/>
    <cacheHierarchy uniqueName="[calls].[Day of week]" caption="Day of week" attribute="1" defaultMemberUniqueName="[calls].[Day of week].[All]" allUniqueName="[calls].[Day of week].[All]" dimensionUniqueName="[calls]" displayFolder="" count="0" memberValueDatatype="130" unbalanced="0"/>
    <cacheHierarchy uniqueName="[calls].[Duration Bucket]" caption="Duration Bucket" attribute="1" defaultMemberUniqueName="[calls].[Duration Bucket].[All]" allUniqueName="[calls].[Duration Bucket].[All]" dimensionUniqueName="[calls]" displayFolder="" count="0" memberValueDatatype="130" unbalanced="0"/>
    <cacheHierarchy uniqueName="[calls].[Rating rounded]" caption="Rating rounded" attribute="1" defaultMemberUniqueName="[calls].[Rating rounded].[All]" allUniqueName="[calls].[Rating rounded].[All]" dimensionUniqueName="[calls]" displayFolder="" count="0" memberValueDatatype="20" unbalanced="0"/>
    <cacheHierarchy uniqueName="[calls].[Date of Call (Month)]" caption="Date of Call (Month)" attribute="1" defaultMemberUniqueName="[calls].[Date of Call (Month)].[All]" allUniqueName="[calls].[Date of Call (Month)].[All]" dimensionUniqueName="[calls]" displayFolder="" count="0" memberValueDatatype="130" unbalanced="0"/>
    <cacheHierarchy uniqueName="[calls].[Date of Call (Month Index)]" caption="Date of Call (Month Index)" attribute="1" defaultMemberUniqueName="[calls].[Date of Call (Month Index)].[All]" allUniqueName="[calls].[Date of Call (Month Index)].[All]" dimensionUniqueName="[calls]" displayFolder="" count="0" memberValueDatatype="20" unbalanced="0" hidden="1"/>
    <cacheHierarchy uniqueName="[Measures].[call count]" caption="call count" measure="1" displayFolder="" measureGroup="calls" count="0" oneField="1">
      <fieldsUsage count="1">
        <fieldUsage x="1"/>
      </fieldsUsage>
    </cacheHierarchy>
    <cacheHierarchy uniqueName="[Measures].[total amount]" caption="total amount" measure="1" displayFolder="" measureGroup="calls" count="0" oneField="1">
      <fieldsUsage count="1">
        <fieldUsage x="2"/>
      </fieldsUsage>
    </cacheHierarchy>
    <cacheHierarchy uniqueName="[Measures].[total duration]" caption="total duration" measure="1" displayFolder="" measureGroup="calls" count="0"/>
    <cacheHierarchy uniqueName="[Measures].[avg.rating]" caption="avg.rating" measure="1" displayFolder="" measureGroup="calls" count="0"/>
    <cacheHierarchy uniqueName="[Measures].[Happy calls]" caption="Happy calls" measure="1" displayFolder="" measureGroup="calls" count="0"/>
    <cacheHierarchy uniqueName="[Measures].[__XL_Count calls]" caption="__XL_Count calls" measure="1" displayFolder="" measureGroup="calls" count="0" hidden="1"/>
    <cacheHierarchy uniqueName="[Measures].[__No measures defined]" caption="__No measures defined" measure="1" displayFolder="" count="0" hidden="1"/>
    <cacheHierarchy uniqueName="[Measures].[Sum of Purchase Amount]" caption="Sum of Purchase Amount" measure="1" displayFolder="" measureGroup="call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Duration]" caption="Sum of Duration" measure="1" displayFolder="" measureGroup="call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Rating rounded]" caption="Sum of Rating rounded" measure="1" displayFolder="" measureGroup="call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Rating rounded]" caption="Average of Rating rounded" measure="1" displayFolder="" measureGroup="call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all number]" caption="Count of Call number" measure="1" displayFolder="" measureGroup="call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atisfaction Rating]" caption="Sum of Satisfaction Rating" measure="1" displayFolder="" measureGroup="call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Satisfaction Rating]" caption="Average of Satisfaction Rating" measure="1" displayFolder="" measureGroup="call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uration Bucket]" caption="Count of Duration Bucket" measure="1" displayFolder="" measureGroup="call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name="calls" uniqueName="[calls]" caption="calls"/>
    <dimension measure="1" name="Measures" uniqueName="[Measures]" caption="Measures"/>
  </dimensions>
  <measureGroups count="1">
    <measureGroup name="calls" caption="call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saveData="0" refreshedBy="JAI" refreshedDate="45918.956273379627" backgroundQuery="1" createdVersion="6" refreshedVersion="6" minRefreshableVersion="3" recordCount="0" supportSubquery="1" supportAdvancedDrill="1">
  <cacheSource type="external" connectionId="1"/>
  <cacheFields count="4">
    <cacheField name="[calls].[Day of week].[Day of week]" caption="Day of week" numFmtId="0" hierarchy="8" level="1">
      <sharedItems count="7">
        <s v="Friday"/>
        <s v="Monday"/>
        <s v="Saturday"/>
        <s v="Sunday"/>
        <s v="Thursday"/>
        <s v="Tuesday"/>
        <s v="Wednesday"/>
      </sharedItems>
    </cacheField>
    <cacheField name="[calls].[Rating rounded].[Rating rounded]" caption="Rating rounded" numFmtId="0" hierarchy="10" level="1">
      <sharedItems containsSemiMixedTypes="0" containsString="0" containsNumber="1" containsInteger="1" minValue="0" maxValue="5" count="6">
        <n v="0"/>
        <n v="1"/>
        <n v="2"/>
        <n v="3"/>
        <n v="4"/>
        <n v="5"/>
      </sharedItems>
      <extLst>
        <ext xmlns:x15="http://schemas.microsoft.com/office/spreadsheetml/2010/11/main" uri="{4F2E5C28-24EA-4eb8-9CBF-B6C8F9C3D259}">
          <x15:cachedUniqueNames>
            <x15:cachedUniqueName index="0" name="[calls].[Rating rounded].&amp;[0]"/>
            <x15:cachedUniqueName index="1" name="[calls].[Rating rounded].&amp;[1]"/>
            <x15:cachedUniqueName index="2" name="[calls].[Rating rounded].&amp;[2]"/>
            <x15:cachedUniqueName index="3" name="[calls].[Rating rounded].&amp;[3]"/>
            <x15:cachedUniqueName index="4" name="[calls].[Rating rounded].&amp;[4]"/>
            <x15:cachedUniqueName index="5" name="[calls].[Rating rounded].&amp;[5]"/>
          </x15:cachedUniqueNames>
        </ext>
      </extLst>
    </cacheField>
    <cacheField name="[Measures].[call count]" caption="call count" numFmtId="0" hierarchy="13" level="32767"/>
    <cacheField name="[calls].[Representative].[Representative]" caption="Representative" numFmtId="0" hierarchy="3" level="1">
      <sharedItems containsSemiMixedTypes="0" containsNonDate="0" containsString="0"/>
    </cacheField>
  </cacheFields>
  <cacheHierarchies count="28">
    <cacheHierarchy uniqueName="[calls].[Call number]" caption="Call number" attribute="1" defaultMemberUniqueName="[calls].[Call number].[All]" allUniqueName="[calls].[Call number].[All]" dimensionUniqueName="[calls]" displayFolder="" count="0" memberValueDatatype="130" unbalanced="0"/>
    <cacheHierarchy uniqueName="[calls].[Customer ID]" caption="Customer ID" attribute="1" defaultMemberUniqueName="[calls].[Customer ID].[All]" allUniqueName="[calls].[Customer ID].[All]" dimensionUniqueName="[calls]" displayFolder="" count="0" memberValueDatatype="130" unbalanced="0"/>
    <cacheHierarchy uniqueName="[calls].[Duration]" caption="Duration" attribute="1" defaultMemberUniqueName="[calls].[Duration].[All]" allUniqueName="[calls].[Duration].[All]" dimensionUniqueName="[calls]" displayFolder="" count="0" memberValueDatatype="20" unbalanced="0"/>
    <cacheHierarchy uniqueName="[calls].[Representative]" caption="Representative" attribute="1" defaultMemberUniqueName="[calls].[Representative].[All]" allUniqueName="[calls].[Representative].[All]" dimensionUniqueName="[calls]" displayFolder="" count="2" memberValueDatatype="130" unbalanced="0">
      <fieldsUsage count="2">
        <fieldUsage x="-1"/>
        <fieldUsage x="3"/>
      </fieldsUsage>
    </cacheHierarchy>
    <cacheHierarchy uniqueName="[calls].[Date of Call]" caption="Date of Call" attribute="1" time="1" defaultMemberUniqueName="[calls].[Date of Call].[All]" allUniqueName="[calls].[Date of Call].[All]" dimensionUniqueName="[calls]" displayFolder="" count="0" memberValueDatatype="7" unbalanced="0"/>
    <cacheHierarchy uniqueName="[calls].[Purchase Amount]" caption="Purchase Amount" attribute="1" defaultMemberUniqueName="[calls].[Purchase Amount].[All]" allUniqueName="[calls].[Purchase Amount].[All]" dimensionUniqueName="[calls]" displayFolder="" count="0" memberValueDatatype="20" unbalanced="0"/>
    <cacheHierarchy uniqueName="[calls].[Satisfaction Rating]" caption="Satisfaction Rating" attribute="1" defaultMemberUniqueName="[calls].[Satisfaction Rating].[All]" allUniqueName="[calls].[Satisfaction Rating].[All]" dimensionUniqueName="[calls]" displayFolder="" count="0" memberValueDatatype="5" unbalanced="0"/>
    <cacheHierarchy uniqueName="[calls].[FY]" caption="FY" attribute="1" defaultMemberUniqueName="[calls].[FY].[All]" allUniqueName="[calls].[FY].[All]" dimensionUniqueName="[calls]" displayFolder="" count="0" memberValueDatatype="20" unbalanced="0"/>
    <cacheHierarchy uniqueName="[calls].[Day of week]" caption="Day of week" attribute="1" defaultMemberUniqueName="[calls].[Day of week].[All]" allUniqueName="[calls].[Day of week].[All]" dimensionUniqueName="[calls]" displayFolder="" count="2" memberValueDatatype="130" unbalanced="0">
      <fieldsUsage count="2">
        <fieldUsage x="-1"/>
        <fieldUsage x="0"/>
      </fieldsUsage>
    </cacheHierarchy>
    <cacheHierarchy uniqueName="[calls].[Duration Bucket]" caption="Duration Bucket" attribute="1" defaultMemberUniqueName="[calls].[Duration Bucket].[All]" allUniqueName="[calls].[Duration Bucket].[All]" dimensionUniqueName="[calls]" displayFolder="" count="0" memberValueDatatype="130" unbalanced="0"/>
    <cacheHierarchy uniqueName="[calls].[Rating rounded]" caption="Rating rounded" attribute="1" defaultMemberUniqueName="[calls].[Rating rounded].[All]" allUniqueName="[calls].[Rating rounded].[All]" dimensionUniqueName="[calls]" displayFolder="" count="2" memberValueDatatype="20" unbalanced="0">
      <fieldsUsage count="2">
        <fieldUsage x="-1"/>
        <fieldUsage x="1"/>
      </fieldsUsage>
    </cacheHierarchy>
    <cacheHierarchy uniqueName="[calls].[Date of Call (Month)]" caption="Date of Call (Month)" attribute="1" defaultMemberUniqueName="[calls].[Date of Call (Month)].[All]" allUniqueName="[calls].[Date of Call (Month)].[All]" dimensionUniqueName="[calls]" displayFolder="" count="0" memberValueDatatype="130" unbalanced="0"/>
    <cacheHierarchy uniqueName="[calls].[Date of Call (Month Index)]" caption="Date of Call (Month Index)" attribute="1" defaultMemberUniqueName="[calls].[Date of Call (Month Index)].[All]" allUniqueName="[calls].[Date of Call (Month Index)].[All]" dimensionUniqueName="[calls]" displayFolder="" count="0" memberValueDatatype="20" unbalanced="0" hidden="1"/>
    <cacheHierarchy uniqueName="[Measures].[call count]" caption="call count" measure="1" displayFolder="" measureGroup="calls" count="0" oneField="1">
      <fieldsUsage count="1">
        <fieldUsage x="2"/>
      </fieldsUsage>
    </cacheHierarchy>
    <cacheHierarchy uniqueName="[Measures].[total amount]" caption="total amount" measure="1" displayFolder="" measureGroup="calls" count="0"/>
    <cacheHierarchy uniqueName="[Measures].[total duration]" caption="total duration" measure="1" displayFolder="" measureGroup="calls" count="0"/>
    <cacheHierarchy uniqueName="[Measures].[avg.rating]" caption="avg.rating" measure="1" displayFolder="" measureGroup="calls" count="0"/>
    <cacheHierarchy uniqueName="[Measures].[Happy calls]" caption="Happy calls" measure="1" displayFolder="" measureGroup="calls" count="0"/>
    <cacheHierarchy uniqueName="[Measures].[__XL_Count calls]" caption="__XL_Count calls" measure="1" displayFolder="" measureGroup="calls" count="0" hidden="1"/>
    <cacheHierarchy uniqueName="[Measures].[__No measures defined]" caption="__No measures defined" measure="1" displayFolder="" count="0" hidden="1"/>
    <cacheHierarchy uniqueName="[Measures].[Sum of Purchase Amount]" caption="Sum of Purchase Amount" measure="1" displayFolder="" measureGroup="call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Duration]" caption="Sum of Duration" measure="1" displayFolder="" measureGroup="call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Rating rounded]" caption="Sum of Rating rounded" measure="1" displayFolder="" measureGroup="call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Rating rounded]" caption="Average of Rating rounded" measure="1" displayFolder="" measureGroup="call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all number]" caption="Count of Call number" measure="1" displayFolder="" measureGroup="call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atisfaction Rating]" caption="Sum of Satisfaction Rating" measure="1" displayFolder="" measureGroup="call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Satisfaction Rating]" caption="Average of Satisfaction Rating" measure="1" displayFolder="" measureGroup="call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uration Bucket]" caption="Count of Duration Bucket" measure="1" displayFolder="" measureGroup="call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name="calls" uniqueName="[calls]" caption="calls"/>
    <dimension measure="1" name="Measures" uniqueName="[Measures]" caption="Measures"/>
  </dimensions>
  <measureGroups count="1">
    <measureGroup name="calls" caption="call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pivotTable1.xml><?xml version="1.0" encoding="utf-8"?>
<pivotTableDefinition xmlns="http://schemas.openxmlformats.org/spreadsheetml/2006/main" name="PivotTable9" cacheId="54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6" indent="0" outline="1" outlineData="1" multipleFieldFilters="0">
  <location ref="A7:E8" firstHeaderRow="0" firstDataRow="1" firstDataCol="0"/>
  <pivotFields count="6">
    <pivotField dataField="1" showAll="0"/>
    <pivotField dataField="1" showAll="0"/>
    <pivotField dataField="1" showAll="0"/>
    <pivotField dataField="1" showAll="0"/>
    <pivotField dataField="1" showAll="0"/>
    <pivotField allDrilled="1" showAll="0" dataSourceSort="1" defaultAttributeDrillState="1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fld="0" subtotal="count" baseField="0" baseItem="0"/>
    <dataField fld="2" subtotal="count" baseField="0" baseItem="0"/>
    <dataField fld="1" subtotal="count" baseField="0" baseItem="0"/>
    <dataField fld="4" subtotal="count" baseField="0" baseItem="0"/>
    <dataField fld="3" subtotal="count" baseField="0" baseItem="0"/>
  </dataFields>
  <pivotHierarchies count="28">
    <pivotHierarchy dragToData="1"/>
    <pivotHierarchy dragToData="1"/>
    <pivotHierarchy dragToData="1"/>
    <pivotHierarchy multipleItemSelectionAllowed="1" dragToData="1">
      <members count="1" level="1">
        <member name="[calls].[Representative].&amp;[R03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all center 2025.xlsx!calls">
        <x15:activeTabTopLevelEntity name="[calls]"/>
      </x15:pivotTableUISettings>
    </ext>
  </extLst>
</pivotTableDefinition>
</file>

<file path=xl/pivotTables/pivotTable2.xml><?xml version="1.0" encoding="utf-8"?>
<pivotTableDefinition xmlns="http://schemas.openxmlformats.org/spreadsheetml/2006/main" name="PivotTable8" cacheId="57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6" indent="0" outline="1" outlineData="1" multipleFieldFilters="0">
  <location ref="A3:E4" firstHeaderRow="0" firstDataRow="1" firstDataCol="0"/>
  <pivotFields count="6">
    <pivotField dataField="1" showAll="0"/>
    <pivotField dataField="1" showAll="0"/>
    <pivotField dataField="1" showAll="0"/>
    <pivotField dataField="1" showAll="0"/>
    <pivotField dataField="1" showAll="0"/>
    <pivotField allDrilled="1" showAll="0" dataSourceSort="1" defaultAttributeDrillState="1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fld="0" subtotal="count" baseField="0" baseItem="0"/>
    <dataField fld="2" subtotal="count" baseField="0" baseItem="0"/>
    <dataField fld="1" subtotal="count" baseField="0" baseItem="0"/>
    <dataField fld="4" subtotal="count" baseField="0" baseItem="0"/>
    <dataField fld="3" subtotal="count" baseField="0" baseItem="0"/>
  </dataFields>
  <pivotHierarchies count="28">
    <pivotHierarchy dragToData="1"/>
    <pivotHierarchy dragToData="1"/>
    <pivotHierarchy dragToData="1"/>
    <pivotHierarchy multipleItemSelectionAllowed="1" dragToData="1">
      <members count="1" level="1">
        <member name="[calls].[Representative].&amp;[R03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all center 2025.xlsx!calls">
        <x15:activeTabTopLevelEntity name="[calls]"/>
      </x15:pivotTableUISettings>
    </ext>
  </extLst>
</pivotTableDefinition>
</file>

<file path=xl/pivotTables/pivotTable3.xml><?xml version="1.0" encoding="utf-8"?>
<pivotTableDefinition xmlns="http://schemas.openxmlformats.org/spreadsheetml/2006/main" name="PivotTable7" cacheId="46" applyNumberFormats="0" applyBorderFormats="0" applyFontFormats="0" applyPatternFormats="0" applyAlignmentFormats="0" applyWidthHeightFormats="1" dataCaption="Values" tag="76d1a33d-60c8-4094-962e-fd3095685b42" updatedVersion="6" minRefreshableVersion="3" useAutoFormatting="1" subtotalHiddenItems="1" itemPrintTitles="1" createdVersion="6" indent="0" outline="1" outlineData="1" multipleFieldFilters="0" chartFormat="18">
  <location ref="A64:B70" firstHeaderRow="1" firstDataRow="1" firstDataCol="1"/>
  <pivotFields count="4">
    <pivotField allDrilled="1" showAll="0" sortType="ascending" defaultAttributeDrillState="1">
      <items count="8">
        <item x="1"/>
        <item x="5"/>
        <item x="6"/>
        <item x="4"/>
        <item x="0"/>
        <item x="2"/>
        <item x="3"/>
        <item t="default"/>
      </items>
    </pivotField>
    <pivotField allDrilled="1" showAll="0" dataSourceSort="1" defaultAttributeDrillState="1">
      <items count="4">
        <item s="1" x="0"/>
        <item s="1" x="1"/>
        <item s="1" x="2"/>
        <item t="default"/>
      </items>
    </pivotField>
    <pivotField axis="axisRow" allDrilled="1" showAll="0" dataSourceSort="1" defaultAttributeDrillState="1">
      <items count="6">
        <item x="0"/>
        <item x="1"/>
        <item x="2"/>
        <item x="3"/>
        <item x="4"/>
        <item t="default"/>
      </items>
    </pivotField>
    <pivotField dataFiel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Duration Bucket" fld="3" subtotal="count" baseField="0" baseItem="0"/>
  </dataFields>
  <chartFormats count="4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5"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ls]"/>
        <x15:activeTabTopLevelEntity name="[customers]"/>
      </x15:pivotTableUISettings>
    </ext>
  </extLst>
</pivotTableDefinition>
</file>

<file path=xl/pivotTables/pivotTable4.xml><?xml version="1.0" encoding="utf-8"?>
<pivotTableDefinition xmlns="http://schemas.openxmlformats.org/spreadsheetml/2006/main" name="PivotTable6" cacheId="60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6" indent="0" outline="1" outlineData="1" multipleFieldFilters="0">
  <location ref="A38:C40" firstHeaderRow="0" firstDataRow="1" firstDataCol="1"/>
  <pivotFields count="3">
    <pivotField axis="axisRow" allDrilled="1" showAll="0" dataSourceSort="1" defaultAttributeDrillState="1">
      <items count="2">
        <item s="1" x="0"/>
        <item t="default"/>
      </items>
    </pivotField>
    <pivotField dataField="1" showAll="0"/>
    <pivotField dataField="1" showAll="0"/>
  </pivotFields>
  <rowFields count="1">
    <field x="0"/>
  </rowFields>
  <rowItems count="2"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2" subtotal="count" baseField="0" baseItem="0"/>
  </dataFields>
  <pivotHierarchies count="28"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all center 2025.xlsx!calls">
        <x15:activeTabTopLevelEntity name="[calls]"/>
      </x15:pivotTableUISettings>
    </ext>
  </extLst>
</pivotTableDefinition>
</file>

<file path=xl/pivotTables/pivotTable5.xml><?xml version="1.0" encoding="utf-8"?>
<pivotTableDefinition xmlns="http://schemas.openxmlformats.org/spreadsheetml/2006/main" name="PivotTable5" cacheId="63" applyNumberFormats="0" applyBorderFormats="0" applyFontFormats="0" applyPatternFormats="0" applyAlignmentFormats="0" applyWidthHeightFormats="1" dataCaption="Values" tag="76d1a33d-60c8-4094-962e-fd3095685b42" updatedVersion="6" minRefreshableVersion="3" useAutoFormatting="1" subtotalHiddenItems="1" itemPrintTitles="1" createdVersion="6" indent="0" outline="1" outlineData="1" multipleFieldFilters="0" chartFormat="7">
  <location ref="A27:B35" firstHeaderRow="1" firstDataRow="1" firstDataCol="1"/>
  <pivotFields count="3">
    <pivotField allDrilled="1" showAll="0" dataSourceSort="1" defaultAttributeDrillState="1"/>
    <pivotField axis="axisRow" allDrilled="1" showAll="0" sortType="ascending" defaultAttributeDrillState="1">
      <items count="8">
        <item x="1"/>
        <item x="5"/>
        <item x="6"/>
        <item x="4"/>
        <item x="0"/>
        <item x="2"/>
        <item x="3"/>
        <item t="default"/>
      </items>
    </pivotField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fld="2" subtotal="count" baseField="0" baseItem="0"/>
  </dataFields>
  <chartFormats count="1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8">
    <pivotHierarchy dragToData="1"/>
    <pivotHierarchy dragToData="1"/>
    <pivotHierarchy dragToData="1"/>
    <pivotHierarchy multipleItemSelectionAllowed="1" dragToData="1">
      <members count="1" level="1">
        <member name="[calls].[Representative].&amp;[R03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all center 2025.xlsx!calls">
        <x15:activeTabTopLevelEntity name="[calls]"/>
      </x15:pivotTableUISettings>
    </ext>
  </extLst>
</pivotTableDefinition>
</file>

<file path=xl/pivotTables/pivotTable6.xml><?xml version="1.0" encoding="utf-8"?>
<pivotTableDefinition xmlns="http://schemas.openxmlformats.org/spreadsheetml/2006/main" name="PivotTable4" cacheId="6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9">
  <location ref="A74:D77" firstHeaderRow="0" firstDataRow="1" firstDataCol="1"/>
  <pivotFields count="5">
    <pivotField axis="axisRow" allDrilled="1" showAll="0" dataSourceSort="1" defaultAttributeDrillState="1">
      <items count="3">
        <item x="0"/>
        <item x="1"/>
        <item t="default"/>
      </items>
    </pivotField>
    <pivotField dataField="1" showAll="0"/>
    <pivotField dataField="1" showAll="0"/>
    <pivotField dataField="1" showAll="0"/>
    <pivotField allDrilled="1" showAll="0" dataSourceSort="1" defaultAttributeDrillState="1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1" subtotal="count" baseField="0" baseItem="0"/>
    <dataField fld="2" subtotal="count" baseField="0" baseItem="0"/>
    <dataField fld="3" subtotal="count" baseField="0" baseItem="0"/>
  </dataFields>
  <chartFormats count="2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28">
    <pivotHierarchy dragToData="1"/>
    <pivotHierarchy dragToData="1"/>
    <pivotHierarchy dragToData="1"/>
    <pivotHierarchy multipleItemSelectionAllowed="1" dragToData="1">
      <members count="1" level="1">
        <member name="[calls].[Representative].&amp;[R03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all center 2025.xlsx!calls">
        <x15:activeTabTopLevelEntity name="[calls]"/>
      </x15:pivotTableUISettings>
    </ext>
  </extLst>
</pivotTableDefinition>
</file>

<file path=xl/pivotTables/pivotTable7.xml><?xml version="1.0" encoding="utf-8"?>
<pivotTableDefinition xmlns="http://schemas.openxmlformats.org/spreadsheetml/2006/main" name="PivotTable3" cacheId="69" applyNumberFormats="0" applyBorderFormats="0" applyFontFormats="0" applyPatternFormats="0" applyAlignmentFormats="0" applyWidthHeightFormats="1" dataCaption="Values" tag="3d80267a-7723-4071-98dc-cf264d320140" updatedVersion="6" minRefreshableVersion="3" useAutoFormatting="1" subtotalHiddenItems="1" itemPrintTitles="1" createdVersion="6" indent="0" outline="1" outlineData="1" multipleFieldFilters="0" chartFormat="6">
  <location ref="A11:C24" firstHeaderRow="0" firstDataRow="1" firstDataCol="1"/>
  <pivotFields count="5">
    <pivotField axis="axisRow" allDrilled="1" showAll="0" dataSourceSort="1" defaultAttributeDrillState="1">
      <items count="3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t="default"/>
      </items>
    </pivotField>
    <pivotField axis="axisRow" allDrilled="1" showAll="0" dataSourceSort="1">
      <items count="13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t="default"/>
      </items>
    </pivotField>
    <pivotField dataField="1" showAll="0"/>
    <pivotField allDrilled="1" showAll="0" dataSourceSort="1" defaultAttributeDrillState="1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2">
    <field x="1"/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fld="2" subtotal="count" baseField="0" baseItem="0"/>
    <dataField name="call count2" fld="4" subtotal="count" baseField="0" baseItem="0">
      <extLst>
        <ext xmlns:x14="http://schemas.microsoft.com/office/spreadsheetml/2009/9/main" uri="{E15A36E0-9728-4e99-A89B-3F7291B0FE68}">
          <x14:dataField sourceField="2" uniqueName="[__Xl2].[Measures].[call count]"/>
        </ext>
      </extLst>
    </dataField>
  </dataFields>
  <chartFormats count="2"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29">
    <pivotHierarchy dragToData="1"/>
    <pivotHierarchy dragToData="1"/>
    <pivotHierarchy dragToData="1"/>
    <pivotHierarchy multipleItemSelectionAllowed="1" dragToData="1">
      <members count="1" level="1">
        <member name="[calls].[Representative].&amp;[R03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2">
    <rowHierarchyUsage hierarchyUsage="11"/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all center 2025.xlsx!calls">
        <x15:activeTabTopLevelEntity name="[calls]"/>
      </x15:pivotTableUISettings>
    </ext>
  </extLst>
</pivotTableDefinition>
</file>

<file path=xl/pivotTables/pivotTable8.xml><?xml version="1.0" encoding="utf-8"?>
<pivotTableDefinition xmlns="http://schemas.openxmlformats.org/spreadsheetml/2006/main" name="PivotTable2" cacheId="72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6" indent="0" outline="1" outlineData="1" multipleFieldFilters="0">
  <location ref="A45:C47" firstHeaderRow="0" firstDataRow="1" firstDataCol="1"/>
  <pivotFields count="3">
    <pivotField axis="axisRow" allDrilled="1" showAll="0" dataSourceSort="1" defaultAttributeDrillState="1">
      <items count="2">
        <item s="1" x="0"/>
        <item t="default"/>
      </items>
    </pivotField>
    <pivotField dataField="1" showAll="0"/>
    <pivotField dataField="1" showAll="0"/>
  </pivotFields>
  <rowFields count="1">
    <field x="0"/>
  </rowFields>
  <rowItems count="2"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2" subtotal="count" baseField="0" baseItem="0"/>
  </dataFields>
  <formats count="1">
    <format dxfId="1">
      <pivotArea dataOnly="0" labelOnly="1" fieldPosition="0">
        <references count="1">
          <reference field="0" count="0"/>
        </references>
      </pivotArea>
    </format>
  </formats>
  <pivotHierarchies count="28"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all center 2025.xlsx!calls">
        <x15:activeTabTopLevelEntity name="[calls]"/>
      </x15:pivotTableUISettings>
    </ext>
  </extLst>
</pivotTableDefinition>
</file>

<file path=xl/pivotTables/pivotTable9.xml><?xml version="1.0" encoding="utf-8"?>
<pivotTableDefinition xmlns="http://schemas.openxmlformats.org/spreadsheetml/2006/main" name="PivotTable1" cacheId="75" applyNumberFormats="0" applyBorderFormats="0" applyFontFormats="0" applyPatternFormats="0" applyAlignmentFormats="0" applyWidthHeightFormats="1" dataCaption="Values" tag="76d1a33d-60c8-4094-962e-fd3095685b42" updatedVersion="6" minRefreshableVersion="3" useAutoFormatting="1" subtotalHiddenItems="1" itemPrintTitles="1" createdVersion="6" indent="0" outline="1" outlineData="1" multipleFieldFilters="0" chartFormat="12">
  <location ref="A55:B62" firstHeaderRow="1" firstDataRow="1" firstDataCol="1"/>
  <pivotFields count="4">
    <pivotField allDrilled="1" showAll="0" sortType="ascending" defaultAttributeDrillState="1">
      <items count="8">
        <item x="1"/>
        <item x="5"/>
        <item x="6"/>
        <item x="4"/>
        <item x="0"/>
        <item x="2"/>
        <item x="3"/>
        <item t="default"/>
      </items>
    </pivotField>
    <pivotField axis="axisRow" allDrilled="1" showAll="0" dataSourceSort="1" defaultAttributeDrillState="1">
      <items count="7">
        <item x="0"/>
        <item x="1"/>
        <item x="2"/>
        <item x="3"/>
        <item x="4"/>
        <item x="5"/>
        <item t="default"/>
      </items>
    </pivotField>
    <pivotField dataField="1" showAll="0"/>
    <pivotField allDrilled="1" showAll="0" dataSourceSort="1" defaultAttributeDrillState="1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fld="2" subtotal="count" baseField="0" baseItem="0"/>
  </dataFields>
  <chartFormats count="1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8">
    <pivotHierarchy dragToData="1"/>
    <pivotHierarchy dragToData="1"/>
    <pivotHierarchy dragToData="1"/>
    <pivotHierarchy multipleItemSelectionAllowed="1" dragToData="1">
      <members count="1" level="1">
        <member name="[calls].[Representative].&amp;[R03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all center 2025.xlsx!calls">
        <x15:activeTabTopLevelEntity name="[calls]"/>
      </x15:pivotTableUISettings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77"/>
  <sheetViews>
    <sheetView tabSelected="1" topLeftCell="A11" workbookViewId="0">
      <selection sqref="A1:XFD77"/>
    </sheetView>
  </sheetViews>
  <sheetFormatPr defaultRowHeight="15" x14ac:dyDescent="0.25"/>
  <cols>
    <col min="1" max="1" width="13.140625" bestFit="1" customWidth="1"/>
    <col min="2" max="2" width="9.42578125" customWidth="1"/>
    <col min="3" max="3" width="12.42578125" customWidth="1"/>
    <col min="4" max="4" width="10.85546875" bestFit="1" customWidth="1"/>
    <col min="5" max="5" width="9.7109375" bestFit="1" customWidth="1"/>
  </cols>
  <sheetData>
    <row r="3" spans="1:5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</row>
    <row r="4" spans="1:5" x14ac:dyDescent="0.25">
      <c r="A4" s="1">
        <v>999</v>
      </c>
      <c r="B4" s="1">
        <v>89788</v>
      </c>
      <c r="C4" s="2">
        <v>96601</v>
      </c>
      <c r="D4" s="1">
        <v>306</v>
      </c>
      <c r="E4" s="3">
        <v>3.9629629629629628</v>
      </c>
    </row>
    <row r="7" spans="1:5" x14ac:dyDescent="0.25">
      <c r="A7" t="s">
        <v>0</v>
      </c>
      <c r="B7" t="s">
        <v>1</v>
      </c>
      <c r="C7" t="s">
        <v>2</v>
      </c>
      <c r="D7" t="s">
        <v>3</v>
      </c>
      <c r="E7" t="s">
        <v>4</v>
      </c>
    </row>
    <row r="8" spans="1:5" x14ac:dyDescent="0.25">
      <c r="A8" s="1">
        <v>999</v>
      </c>
      <c r="B8" s="1">
        <v>89788</v>
      </c>
      <c r="C8" s="2">
        <v>96601</v>
      </c>
      <c r="D8" s="1">
        <v>306</v>
      </c>
      <c r="E8" s="3">
        <v>3.9629629629629628</v>
      </c>
    </row>
    <row r="11" spans="1:5" x14ac:dyDescent="0.25">
      <c r="A11" s="8" t="s">
        <v>5</v>
      </c>
      <c r="B11" t="s">
        <v>0</v>
      </c>
      <c r="C11" t="s">
        <v>6</v>
      </c>
    </row>
    <row r="12" spans="1:5" x14ac:dyDescent="0.25">
      <c r="A12" s="4" t="s">
        <v>7</v>
      </c>
      <c r="B12" s="1">
        <v>78</v>
      </c>
      <c r="C12" s="1">
        <v>78</v>
      </c>
    </row>
    <row r="13" spans="1:5" x14ac:dyDescent="0.25">
      <c r="A13" s="4" t="s">
        <v>8</v>
      </c>
      <c r="B13" s="1">
        <v>66</v>
      </c>
      <c r="C13" s="1">
        <v>66</v>
      </c>
    </row>
    <row r="14" spans="1:5" x14ac:dyDescent="0.25">
      <c r="A14" s="4" t="s">
        <v>9</v>
      </c>
      <c r="B14" s="1">
        <v>155</v>
      </c>
      <c r="C14" s="1">
        <v>155</v>
      </c>
    </row>
    <row r="15" spans="1:5" x14ac:dyDescent="0.25">
      <c r="A15" s="4" t="s">
        <v>10</v>
      </c>
      <c r="B15" s="1">
        <v>136</v>
      </c>
      <c r="C15" s="1">
        <v>136</v>
      </c>
    </row>
    <row r="16" spans="1:5" x14ac:dyDescent="0.25">
      <c r="A16" s="4" t="s">
        <v>11</v>
      </c>
      <c r="B16" s="1">
        <v>83</v>
      </c>
      <c r="C16" s="1">
        <v>83</v>
      </c>
    </row>
    <row r="17" spans="1:3" x14ac:dyDescent="0.25">
      <c r="A17" s="4" t="s">
        <v>12</v>
      </c>
      <c r="B17" s="1">
        <v>67</v>
      </c>
      <c r="C17" s="1">
        <v>67</v>
      </c>
    </row>
    <row r="18" spans="1:3" x14ac:dyDescent="0.25">
      <c r="A18" s="4" t="s">
        <v>13</v>
      </c>
      <c r="B18" s="1">
        <v>64</v>
      </c>
      <c r="C18" s="1">
        <v>64</v>
      </c>
    </row>
    <row r="19" spans="1:3" x14ac:dyDescent="0.25">
      <c r="A19" s="4" t="s">
        <v>14</v>
      </c>
      <c r="B19" s="1">
        <v>50</v>
      </c>
      <c r="C19" s="1">
        <v>50</v>
      </c>
    </row>
    <row r="20" spans="1:3" x14ac:dyDescent="0.25">
      <c r="A20" s="4" t="s">
        <v>15</v>
      </c>
      <c r="B20" s="1">
        <v>76</v>
      </c>
      <c r="C20" s="1">
        <v>76</v>
      </c>
    </row>
    <row r="21" spans="1:3" x14ac:dyDescent="0.25">
      <c r="A21" s="4" t="s">
        <v>16</v>
      </c>
      <c r="B21" s="1">
        <v>114</v>
      </c>
      <c r="C21" s="1">
        <v>114</v>
      </c>
    </row>
    <row r="22" spans="1:3" x14ac:dyDescent="0.25">
      <c r="A22" s="4" t="s">
        <v>17</v>
      </c>
      <c r="B22" s="1">
        <v>57</v>
      </c>
      <c r="C22" s="1">
        <v>57</v>
      </c>
    </row>
    <row r="23" spans="1:3" x14ac:dyDescent="0.25">
      <c r="A23" s="4" t="s">
        <v>18</v>
      </c>
      <c r="B23" s="1">
        <v>53</v>
      </c>
      <c r="C23" s="1">
        <v>53</v>
      </c>
    </row>
    <row r="24" spans="1:3" x14ac:dyDescent="0.25">
      <c r="A24" s="4" t="s">
        <v>19</v>
      </c>
      <c r="B24" s="1">
        <v>999</v>
      </c>
      <c r="C24" s="1">
        <v>999</v>
      </c>
    </row>
    <row r="27" spans="1:3" x14ac:dyDescent="0.25">
      <c r="A27" s="8" t="s">
        <v>5</v>
      </c>
      <c r="B27" t="s">
        <v>0</v>
      </c>
    </row>
    <row r="28" spans="1:3" x14ac:dyDescent="0.25">
      <c r="A28" s="4" t="s">
        <v>20</v>
      </c>
      <c r="B28" s="1">
        <v>139</v>
      </c>
    </row>
    <row r="29" spans="1:3" x14ac:dyDescent="0.25">
      <c r="A29" s="4" t="s">
        <v>21</v>
      </c>
      <c r="B29" s="1">
        <v>161</v>
      </c>
    </row>
    <row r="30" spans="1:3" x14ac:dyDescent="0.25">
      <c r="A30" s="4" t="s">
        <v>22</v>
      </c>
      <c r="B30" s="1">
        <v>145</v>
      </c>
    </row>
    <row r="31" spans="1:3" x14ac:dyDescent="0.25">
      <c r="A31" s="4" t="s">
        <v>23</v>
      </c>
      <c r="B31" s="1">
        <v>132</v>
      </c>
    </row>
    <row r="32" spans="1:3" x14ac:dyDescent="0.25">
      <c r="A32" s="4" t="s">
        <v>24</v>
      </c>
      <c r="B32" s="1">
        <v>139</v>
      </c>
    </row>
    <row r="33" spans="1:10" x14ac:dyDescent="0.25">
      <c r="A33" s="4" t="s">
        <v>25</v>
      </c>
      <c r="B33" s="1">
        <v>156</v>
      </c>
    </row>
    <row r="34" spans="1:10" x14ac:dyDescent="0.25">
      <c r="A34" s="4" t="s">
        <v>26</v>
      </c>
      <c r="B34" s="1">
        <v>127</v>
      </c>
    </row>
    <row r="35" spans="1:10" x14ac:dyDescent="0.25">
      <c r="A35" s="4" t="s">
        <v>19</v>
      </c>
      <c r="B35" s="1">
        <v>999</v>
      </c>
    </row>
    <row r="36" spans="1:10" x14ac:dyDescent="0.25">
      <c r="G36" t="s">
        <v>27</v>
      </c>
    </row>
    <row r="37" spans="1:10" x14ac:dyDescent="0.25">
      <c r="F37" t="s">
        <v>28</v>
      </c>
      <c r="G37" t="s">
        <v>29</v>
      </c>
      <c r="H37" t="s">
        <v>30</v>
      </c>
      <c r="I37" t="s">
        <v>31</v>
      </c>
      <c r="J37" t="s">
        <v>32</v>
      </c>
    </row>
    <row r="38" spans="1:10" x14ac:dyDescent="0.25">
      <c r="A38" s="8" t="s">
        <v>5</v>
      </c>
      <c r="B38" t="s">
        <v>0</v>
      </c>
      <c r="C38" t="s">
        <v>2</v>
      </c>
      <c r="F38" s="4" t="s">
        <v>33</v>
      </c>
      <c r="G38" s="1">
        <v>189</v>
      </c>
      <c r="H38" s="5">
        <v>18423</v>
      </c>
      <c r="I38" t="e">
        <f>IF(E53=F38,G38,NA())</f>
        <v>#N/A</v>
      </c>
      <c r="J38" t="e">
        <f>IF(E53=F38,H38,NA())</f>
        <v>#N/A</v>
      </c>
    </row>
    <row r="39" spans="1:10" x14ac:dyDescent="0.25">
      <c r="A39" s="4" t="s">
        <v>34</v>
      </c>
      <c r="B39" s="1">
        <v>207</v>
      </c>
      <c r="C39" s="2">
        <v>20882</v>
      </c>
      <c r="F39" s="4" t="s">
        <v>35</v>
      </c>
      <c r="G39" s="1">
        <v>218</v>
      </c>
      <c r="H39" s="5">
        <v>20585</v>
      </c>
      <c r="I39" t="e">
        <f>IF(E53=F39,G39,NA())</f>
        <v>#N/A</v>
      </c>
      <c r="J39" t="e">
        <f>IF(E53=F39,H39,NA())</f>
        <v>#N/A</v>
      </c>
    </row>
    <row r="40" spans="1:10" x14ac:dyDescent="0.25">
      <c r="A40" s="4" t="s">
        <v>19</v>
      </c>
      <c r="B40" s="1">
        <v>207</v>
      </c>
      <c r="C40" s="2">
        <v>20882</v>
      </c>
      <c r="F40" s="4" t="s">
        <v>34</v>
      </c>
      <c r="G40" s="1">
        <v>207</v>
      </c>
      <c r="H40" s="5">
        <v>20882</v>
      </c>
      <c r="I40">
        <f>IF(E53=F40,G40,NA())</f>
        <v>207</v>
      </c>
      <c r="J40">
        <f>IF(E53=F40,H40,NA())</f>
        <v>20882</v>
      </c>
    </row>
    <row r="41" spans="1:10" x14ac:dyDescent="0.25">
      <c r="F41" s="4" t="s">
        <v>36</v>
      </c>
      <c r="G41" s="1">
        <v>186</v>
      </c>
      <c r="H41" s="5">
        <v>16661</v>
      </c>
      <c r="I41" t="e">
        <f>IF(E53=F41,G41,NA())</f>
        <v>#N/A</v>
      </c>
      <c r="J41" t="e">
        <f>IF(E53=F41,H41,NA())</f>
        <v>#N/A</v>
      </c>
    </row>
    <row r="42" spans="1:10" x14ac:dyDescent="0.25">
      <c r="F42" s="4" t="s">
        <v>37</v>
      </c>
      <c r="G42" s="1">
        <v>199</v>
      </c>
      <c r="H42" s="5">
        <v>20050</v>
      </c>
      <c r="I42" t="e">
        <f>IF(E53=F42,G42,NA())</f>
        <v>#N/A</v>
      </c>
      <c r="J42" t="e">
        <f>IF(E53=F42,H42,NA())</f>
        <v>#N/A</v>
      </c>
    </row>
    <row r="45" spans="1:10" x14ac:dyDescent="0.25">
      <c r="A45" s="8" t="s">
        <v>5</v>
      </c>
      <c r="B45" t="s">
        <v>0</v>
      </c>
      <c r="C45" t="s">
        <v>2</v>
      </c>
    </row>
    <row r="46" spans="1:10" x14ac:dyDescent="0.25">
      <c r="A46" s="6" t="s">
        <v>34</v>
      </c>
      <c r="B46" s="1">
        <v>207</v>
      </c>
      <c r="C46" s="2">
        <v>20882</v>
      </c>
    </row>
    <row r="47" spans="1:10" x14ac:dyDescent="0.25">
      <c r="A47" s="4" t="s">
        <v>19</v>
      </c>
      <c r="B47" s="1">
        <v>207</v>
      </c>
      <c r="C47" s="2">
        <v>20882</v>
      </c>
    </row>
    <row r="53" spans="1:5" x14ac:dyDescent="0.25">
      <c r="E53" t="str">
        <f>A46</f>
        <v>R03</v>
      </c>
    </row>
    <row r="54" spans="1:5" x14ac:dyDescent="0.25">
      <c r="D54" s="1"/>
    </row>
    <row r="55" spans="1:5" x14ac:dyDescent="0.25">
      <c r="A55" s="8" t="s">
        <v>5</v>
      </c>
      <c r="B55" t="s">
        <v>0</v>
      </c>
      <c r="D55" s="1"/>
    </row>
    <row r="56" spans="1:5" x14ac:dyDescent="0.25">
      <c r="A56" s="4">
        <v>0</v>
      </c>
      <c r="B56" s="1">
        <v>1</v>
      </c>
    </row>
    <row r="57" spans="1:5" x14ac:dyDescent="0.25">
      <c r="A57" s="4">
        <v>1</v>
      </c>
      <c r="B57" s="1">
        <v>8</v>
      </c>
    </row>
    <row r="58" spans="1:5" x14ac:dyDescent="0.25">
      <c r="A58" s="4">
        <v>2</v>
      </c>
      <c r="B58" s="1">
        <v>59</v>
      </c>
      <c r="D58" s="7"/>
    </row>
    <row r="59" spans="1:5" x14ac:dyDescent="0.25">
      <c r="A59" s="4">
        <v>3</v>
      </c>
      <c r="B59" s="1">
        <v>197</v>
      </c>
    </row>
    <row r="60" spans="1:5" x14ac:dyDescent="0.25">
      <c r="A60" s="4">
        <v>4</v>
      </c>
      <c r="B60" s="1">
        <v>428</v>
      </c>
    </row>
    <row r="61" spans="1:5" x14ac:dyDescent="0.25">
      <c r="A61" s="4">
        <v>5</v>
      </c>
      <c r="B61" s="1">
        <v>306</v>
      </c>
    </row>
    <row r="62" spans="1:5" x14ac:dyDescent="0.25">
      <c r="A62" s="4" t="s">
        <v>19</v>
      </c>
      <c r="B62" s="1">
        <v>999</v>
      </c>
    </row>
    <row r="64" spans="1:5" x14ac:dyDescent="0.25">
      <c r="A64" s="8" t="s">
        <v>5</v>
      </c>
      <c r="B64" t="s">
        <v>38</v>
      </c>
    </row>
    <row r="65" spans="1:4" x14ac:dyDescent="0.25">
      <c r="A65" s="4" t="s">
        <v>33</v>
      </c>
      <c r="B65" s="7">
        <v>189</v>
      </c>
    </row>
    <row r="66" spans="1:4" x14ac:dyDescent="0.25">
      <c r="A66" s="4" t="s">
        <v>35</v>
      </c>
      <c r="B66" s="7">
        <v>218</v>
      </c>
    </row>
    <row r="67" spans="1:4" x14ac:dyDescent="0.25">
      <c r="A67" s="4" t="s">
        <v>34</v>
      </c>
      <c r="B67" s="7">
        <v>207</v>
      </c>
    </row>
    <row r="68" spans="1:4" x14ac:dyDescent="0.25">
      <c r="A68" s="4" t="s">
        <v>36</v>
      </c>
      <c r="B68" s="7">
        <v>186</v>
      </c>
    </row>
    <row r="69" spans="1:4" x14ac:dyDescent="0.25">
      <c r="A69" s="4" t="s">
        <v>37</v>
      </c>
      <c r="B69" s="7">
        <v>199</v>
      </c>
    </row>
    <row r="70" spans="1:4" x14ac:dyDescent="0.25">
      <c r="A70" s="4" t="s">
        <v>19</v>
      </c>
      <c r="B70" s="7">
        <v>999</v>
      </c>
    </row>
    <row r="74" spans="1:4" x14ac:dyDescent="0.25">
      <c r="A74" s="8" t="s">
        <v>5</v>
      </c>
      <c r="B74" t="s">
        <v>2</v>
      </c>
      <c r="C74" t="s">
        <v>1</v>
      </c>
      <c r="D74" t="s">
        <v>3</v>
      </c>
    </row>
    <row r="75" spans="1:4" x14ac:dyDescent="0.25">
      <c r="A75" s="4">
        <v>2025</v>
      </c>
      <c r="B75" s="2">
        <v>56041</v>
      </c>
      <c r="C75" s="1">
        <v>51814</v>
      </c>
      <c r="D75" s="1">
        <v>180</v>
      </c>
    </row>
    <row r="76" spans="1:4" x14ac:dyDescent="0.25">
      <c r="A76" s="4">
        <v>2026</v>
      </c>
      <c r="B76" s="2">
        <v>40560</v>
      </c>
      <c r="C76" s="1">
        <v>37974</v>
      </c>
      <c r="D76" s="1">
        <v>126</v>
      </c>
    </row>
    <row r="77" spans="1:4" x14ac:dyDescent="0.25">
      <c r="A77" s="4" t="s">
        <v>19</v>
      </c>
      <c r="B77" s="2">
        <v>96601</v>
      </c>
      <c r="C77" s="1">
        <v>89788</v>
      </c>
      <c r="D77" s="1">
        <v>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</dc:creator>
  <cp:lastModifiedBy>JAI</cp:lastModifiedBy>
  <dcterms:created xsi:type="dcterms:W3CDTF">2025-09-18T17:26:54Z</dcterms:created>
  <dcterms:modified xsi:type="dcterms:W3CDTF">2025-09-18T17:27:27Z</dcterms:modified>
</cp:coreProperties>
</file>